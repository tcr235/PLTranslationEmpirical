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8000" tabRatio="600" firstSheet="0" activeTab="0" autoFilterDateGrouping="1"/>
  </bookViews>
  <sheets>
    <sheet name="CodeGen" sheetId="1" state="visible" r:id="rId1"/>
    <sheet name="CodeGeeX" sheetId="2" state="visible" r:id="rId2"/>
    <sheet name="StarCoder" sheetId="3" state="visible" r:id="rId3"/>
    <sheet name="GPT-4" sheetId="4" state="visible" r:id="rId4"/>
    <sheet name="Llama 2" sheetId="5" state="visible" r:id="rId5"/>
    <sheet name="TB-Airoboros" sheetId="6" state="visible" r:id="rId6"/>
    <sheet name="TB-Vicuna" sheetId="7" state="visible" r:id="rId7"/>
    <sheet name="Qwen" sheetId="8" state="visible" r:id="rId8"/>
    <sheet name="LLaMa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b val="1"/>
      <color theme="1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0" tint="-0.249977111117893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2" fillId="7" borderId="3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/>
    </xf>
    <xf numFmtId="0" fontId="1" fillId="2" borderId="3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/>
    </xf>
    <xf numFmtId="0" fontId="2" fillId="0" borderId="1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2" borderId="12" applyAlignment="1" pivotButton="0" quotePrefix="0" xfId="0">
      <alignment horizontal="center"/>
    </xf>
    <xf numFmtId="0" fontId="3" fillId="2" borderId="12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4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2" fillId="0" borderId="20" applyAlignment="1" pivotButton="0" quotePrefix="0" xfId="0">
      <alignment horizontal="center"/>
    </xf>
    <xf numFmtId="0" fontId="2" fillId="0" borderId="21" applyAlignment="1" pivotButton="0" quotePrefix="0" xfId="0">
      <alignment horizontal="center"/>
    </xf>
    <xf numFmtId="0" fontId="1" fillId="2" borderId="2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3" fillId="2" borderId="18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2" fillId="0" borderId="24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6" applyAlignment="1" pivotButton="0" quotePrefix="0" xfId="0">
      <alignment horizontal="center"/>
    </xf>
    <xf numFmtId="0" fontId="2" fillId="0" borderId="26" applyAlignment="1" pivotButton="0" quotePrefix="0" xfId="0">
      <alignment horizontal="center"/>
    </xf>
    <xf numFmtId="0" fontId="2" fillId="0" borderId="27" applyAlignment="1" pivotButton="0" quotePrefix="0" xfId="0">
      <alignment horizontal="center"/>
    </xf>
    <xf numFmtId="0" fontId="2" fillId="0" borderId="12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0" fontId="0" fillId="0" borderId="28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2" fillId="7" borderId="9" applyAlignment="1" pivotButton="0" quotePrefix="0" xfId="0">
      <alignment horizontal="center" vertical="center"/>
    </xf>
    <xf numFmtId="0" fontId="2" fillId="0" borderId="29" applyAlignment="1" pivotButton="0" quotePrefix="0" xfId="0">
      <alignment horizontal="center"/>
    </xf>
    <xf numFmtId="0" fontId="2" fillId="0" borderId="23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/>
    </xf>
    <xf numFmtId="0" fontId="2" fillId="6" borderId="3" applyAlignment="1" pivotButton="0" quotePrefix="0" xfId="0">
      <alignment horizontal="center" vertical="center"/>
    </xf>
    <xf numFmtId="0" fontId="2" fillId="7" borderId="3" applyAlignment="1" pivotButton="0" quotePrefix="0" xfId="0">
      <alignment horizontal="center" vertical="center"/>
    </xf>
    <xf numFmtId="0" fontId="2" fillId="7" borderId="2" applyAlignment="1" pivotButton="0" quotePrefix="0" xfId="0">
      <alignment horizontal="center" vertical="center"/>
    </xf>
    <xf numFmtId="0" fontId="0" fillId="9" borderId="13" applyAlignment="1" pivotButton="0" quotePrefix="0" xfId="0">
      <alignment horizontal="center"/>
    </xf>
    <xf numFmtId="0" fontId="0" fillId="9" borderId="14" applyAlignment="1" pivotButton="0" quotePrefix="0" xfId="0">
      <alignment horizontal="center"/>
    </xf>
    <xf numFmtId="0" fontId="2" fillId="3" borderId="3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0" fontId="2" fillId="5" borderId="3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15" applyAlignment="1" pivotButton="0" quotePrefix="0" xfId="0">
      <alignment horizontal="center"/>
    </xf>
    <xf numFmtId="0" fontId="2" fillId="0" borderId="17" applyAlignment="1" pivotButton="0" quotePrefix="0" xfId="0">
      <alignment horizontal="center"/>
    </xf>
    <xf numFmtId="0" fontId="2" fillId="0" borderId="30" applyAlignment="1" pivotButton="0" quotePrefix="0" xfId="0">
      <alignment horizontal="center"/>
    </xf>
    <xf numFmtId="0" fontId="0" fillId="0" borderId="11" pivotButton="0" quotePrefix="0" xfId="0"/>
    <xf numFmtId="0" fontId="0" fillId="0" borderId="10" pivotButton="0" quotePrefix="0" xfId="0"/>
    <xf numFmtId="0" fontId="0" fillId="0" borderId="29" pivotButton="0" quotePrefix="0" xfId="0"/>
    <xf numFmtId="0" fontId="0" fillId="0" borderId="13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25" pivotButton="0" quotePrefix="0" xfId="0"/>
    <xf numFmtId="0" fontId="0" fillId="0" borderId="31" pivotButton="0" quotePrefix="0" xfId="0"/>
    <xf numFmtId="0" fontId="0" fillId="0" borderId="1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O35"/>
  <sheetViews>
    <sheetView tabSelected="1" workbookViewId="0">
      <selection activeCell="E38" sqref="E38"/>
    </sheetView>
  </sheetViews>
  <sheetFormatPr baseColWidth="10" defaultColWidth="8.83203125" defaultRowHeight="15"/>
  <cols>
    <col width="11.5" customWidth="1" min="2" max="2"/>
    <col width="16.5" customWidth="1" min="3" max="3"/>
    <col width="12.5" customWidth="1" min="4" max="4"/>
    <col width="18.6640625" customWidth="1" min="5" max="5"/>
    <col width="26.33203125" customWidth="1" min="6" max="6"/>
    <col width="24.1640625" customWidth="1" min="7" max="7"/>
    <col width="22.83203125" customWidth="1" min="8" max="8"/>
    <col width="21.5" customWidth="1" min="9" max="9"/>
    <col width="16.83203125" customWidth="1" min="10" max="10"/>
    <col width="13.5" customWidth="1" min="11" max="11"/>
    <col width="15.6640625" customWidth="1" min="12" max="12"/>
    <col width="13.83203125" customWidth="1" min="13" max="13"/>
    <col width="14.5" customWidth="1" min="14" max="14"/>
    <col width="20.1640625" customWidth="1" min="15" max="15"/>
  </cols>
  <sheetData>
    <row r="3" ht="16" customHeight="1">
      <c r="B3" s="1" t="inlineStr">
        <is>
          <t>dataset</t>
        </is>
      </c>
      <c r="C3" s="2" t="inlineStr">
        <is>
          <t>source</t>
        </is>
      </c>
      <c r="D3" s="2" t="inlineStr">
        <is>
          <t>target</t>
        </is>
      </c>
      <c r="E3" s="3" t="inlineStr">
        <is>
          <t>script accuracy %</t>
        </is>
      </c>
      <c r="F3" s="2" t="inlineStr">
        <is>
          <t>script compilation error %</t>
        </is>
      </c>
      <c r="G3" s="3" t="inlineStr">
        <is>
          <t>script runtime error %</t>
        </is>
      </c>
      <c r="H3" s="2" t="inlineStr">
        <is>
          <t>script wrong output %</t>
        </is>
      </c>
      <c r="I3" s="3" t="inlineStr">
        <is>
          <t>script infinite loop %</t>
        </is>
      </c>
      <c r="J3" s="17" t="inlineStr">
        <is>
          <t>avg source acc %</t>
        </is>
      </c>
      <c r="K3" s="18" t="inlineStr">
        <is>
          <t>num correct</t>
        </is>
      </c>
      <c r="L3" s="18" t="inlineStr">
        <is>
          <t>num compilation</t>
        </is>
      </c>
      <c r="M3" s="18" t="inlineStr">
        <is>
          <t>num runtime</t>
        </is>
      </c>
      <c r="N3" s="18" t="inlineStr">
        <is>
          <t>num incorrect</t>
        </is>
      </c>
      <c r="O3" s="18" t="inlineStr">
        <is>
          <t>num non-terminating</t>
        </is>
      </c>
    </row>
    <row r="4" ht="16" customHeight="1">
      <c r="B4" s="50" t="inlineStr">
        <is>
          <t>codenet</t>
        </is>
      </c>
      <c r="C4" s="57" t="inlineStr">
        <is>
          <t>c</t>
        </is>
      </c>
      <c r="D4" s="4" t="inlineStr">
        <is>
          <t>c++</t>
        </is>
      </c>
      <c r="E4" s="66" t="n">
        <v>48</v>
      </c>
      <c r="F4" s="36" t="n">
        <v>41</v>
      </c>
      <c r="G4" s="66" t="n">
        <v>0</v>
      </c>
      <c r="H4" s="36" t="n">
        <v>10.5</v>
      </c>
      <c r="I4" s="6" t="n">
        <v>0.5</v>
      </c>
      <c r="J4" s="63">
        <f>ROUND(AVERAGE(E4:E7),1)</f>
        <v/>
      </c>
      <c r="K4" s="27">
        <f>ROUND((E4/100)*200,0)</f>
        <v/>
      </c>
      <c r="L4" s="16">
        <f>ROUND((F4/100)*200,0)</f>
        <v/>
      </c>
      <c r="M4" s="27">
        <f>ROUND((G4/100)*200,0)</f>
        <v/>
      </c>
      <c r="N4" s="16">
        <f>ROUND((H4/100)*200,0)</f>
        <v/>
      </c>
      <c r="O4" s="27">
        <f>ROUND((I4/100)*200,0)</f>
        <v/>
      </c>
    </row>
    <row r="5" ht="16" customHeight="1">
      <c r="B5" s="70" t="n"/>
      <c r="C5" s="71" t="n"/>
      <c r="D5" s="4" t="inlineStr">
        <is>
          <t>go</t>
        </is>
      </c>
      <c r="E5" s="66" t="n">
        <v>33</v>
      </c>
      <c r="F5" s="37" t="n">
        <v>57.5</v>
      </c>
      <c r="G5" s="66" t="n">
        <v>1</v>
      </c>
      <c r="H5" s="37" t="n">
        <v>7.5</v>
      </c>
      <c r="I5" s="6" t="n">
        <v>1</v>
      </c>
      <c r="J5" s="70" t="n"/>
      <c r="K5" s="28">
        <f>ROUND((E5/100)*200,0)</f>
        <v/>
      </c>
      <c r="L5" s="16">
        <f>ROUND((F5/100)*200,0)</f>
        <v/>
      </c>
      <c r="M5" s="28">
        <f>ROUND((G5/100)*200,0)</f>
        <v/>
      </c>
      <c r="N5" s="16">
        <f>ROUND((H5/100)*200,0)</f>
        <v/>
      </c>
      <c r="O5" s="28">
        <f>ROUND((I5/100)*200,0)</f>
        <v/>
      </c>
    </row>
    <row r="6" ht="16" customHeight="1">
      <c r="B6" s="70" t="n"/>
      <c r="C6" s="71" t="n"/>
      <c r="D6" s="4" t="inlineStr">
        <is>
          <t>java</t>
        </is>
      </c>
      <c r="E6" s="66" t="n">
        <v>2.5</v>
      </c>
      <c r="F6" s="37" t="n">
        <v>90</v>
      </c>
      <c r="G6" s="66" t="n">
        <v>6</v>
      </c>
      <c r="H6" s="37" t="n">
        <v>1.5</v>
      </c>
      <c r="I6" s="6" t="n">
        <v>0</v>
      </c>
      <c r="J6" s="70" t="n"/>
      <c r="K6" s="28">
        <f>ROUND((E6/100)*200,0)</f>
        <v/>
      </c>
      <c r="L6" s="16">
        <f>ROUND((F6/100)*200,0)</f>
        <v/>
      </c>
      <c r="M6" s="28">
        <f>ROUND((G6/100)*200,0)</f>
        <v/>
      </c>
      <c r="N6" s="16">
        <f>ROUND((H6/100)*200,0)</f>
        <v/>
      </c>
      <c r="O6" s="28">
        <f>ROUND((I6/100)*200,0)</f>
        <v/>
      </c>
    </row>
    <row r="7" ht="16" customHeight="1">
      <c r="B7" s="70" t="n"/>
      <c r="C7" s="72" t="n"/>
      <c r="D7" s="4" t="inlineStr">
        <is>
          <t>python</t>
        </is>
      </c>
      <c r="E7" s="7" t="n">
        <v>10</v>
      </c>
      <c r="F7" s="38" t="n">
        <v>67</v>
      </c>
      <c r="G7" s="7" t="n">
        <v>15</v>
      </c>
      <c r="H7" s="38" t="n">
        <v>7.5</v>
      </c>
      <c r="I7" s="8" t="n">
        <v>0.5</v>
      </c>
      <c r="J7" s="70" t="n"/>
      <c r="K7" s="28">
        <f>ROUND((E7/100)*200,0)</f>
        <v/>
      </c>
      <c r="L7" s="16">
        <f>ROUND((F7/100)*200,0)</f>
        <v/>
      </c>
      <c r="M7" s="28">
        <f>ROUND((G7/100)*200,0)</f>
        <v/>
      </c>
      <c r="N7" s="16">
        <f>ROUND((H7/100)*200,0)</f>
        <v/>
      </c>
      <c r="O7" s="28">
        <f>ROUND((I7/100)*200,0)</f>
        <v/>
      </c>
    </row>
    <row r="8" ht="16" customHeight="1">
      <c r="B8" s="70" t="n"/>
      <c r="C8" s="58" t="inlineStr">
        <is>
          <t>c++</t>
        </is>
      </c>
      <c r="D8" s="4" t="inlineStr">
        <is>
          <t>c</t>
        </is>
      </c>
      <c r="E8" s="66" t="n">
        <v>34</v>
      </c>
      <c r="F8" s="37" t="n">
        <v>59.5</v>
      </c>
      <c r="G8" s="66" t="n">
        <v>0</v>
      </c>
      <c r="H8" s="37" t="n">
        <v>6.5</v>
      </c>
      <c r="I8" s="6" t="n">
        <v>0</v>
      </c>
      <c r="J8" s="73">
        <f>ROUND(AVERAGE(E8:E11),1)</f>
        <v/>
      </c>
      <c r="K8" s="27">
        <f>ROUND((E8/100)*200,0)</f>
        <v/>
      </c>
      <c r="L8" s="35">
        <f>ROUND((F8/100)*200,0)</f>
        <v/>
      </c>
      <c r="M8" s="27">
        <f>ROUND((G8/100)*200,0)</f>
        <v/>
      </c>
      <c r="N8" s="35">
        <f>ROUND((H8/100)*200,0)</f>
        <v/>
      </c>
      <c r="O8" s="27">
        <f>ROUND((I8/100)*200,0)</f>
        <v/>
      </c>
    </row>
    <row r="9" ht="16" customHeight="1">
      <c r="B9" s="70" t="n"/>
      <c r="C9" s="71" t="n"/>
      <c r="D9" s="4" t="inlineStr">
        <is>
          <t>go</t>
        </is>
      </c>
      <c r="E9" s="66" t="n">
        <v>13</v>
      </c>
      <c r="F9" s="37" t="n">
        <v>79.5</v>
      </c>
      <c r="G9" s="66" t="n">
        <v>0.5</v>
      </c>
      <c r="H9" s="37" t="n">
        <v>6.5</v>
      </c>
      <c r="I9" s="6" t="n">
        <v>0.5</v>
      </c>
      <c r="J9" s="74" t="n"/>
      <c r="K9" s="28">
        <f>ROUND((E9/100)*200,0)</f>
        <v/>
      </c>
      <c r="L9" s="16">
        <f>ROUND((F9/100)*200,0)</f>
        <v/>
      </c>
      <c r="M9" s="28">
        <f>ROUND((G9/100)*200,0)</f>
        <v/>
      </c>
      <c r="N9" s="16">
        <f>ROUND((H9/100)*200,0)</f>
        <v/>
      </c>
      <c r="O9" s="28">
        <f>ROUND((I9/100)*200,0)</f>
        <v/>
      </c>
    </row>
    <row r="10" ht="16" customHeight="1">
      <c r="B10" s="70" t="n"/>
      <c r="C10" s="71" t="n"/>
      <c r="D10" s="4" t="inlineStr">
        <is>
          <t>java</t>
        </is>
      </c>
      <c r="E10" s="66" t="n">
        <v>1.5</v>
      </c>
      <c r="F10" s="37" t="n">
        <v>80.5</v>
      </c>
      <c r="G10" s="66" t="n">
        <v>16</v>
      </c>
      <c r="H10" s="37" t="n">
        <v>2</v>
      </c>
      <c r="I10" s="6" t="n">
        <v>0</v>
      </c>
      <c r="J10" s="74" t="n"/>
      <c r="K10" s="28">
        <f>ROUND((E10/100)*200,0)</f>
        <v/>
      </c>
      <c r="L10" s="16">
        <f>ROUND((F10/100)*200,0)</f>
        <v/>
      </c>
      <c r="M10" s="28">
        <f>ROUND((G10/100)*200,0)</f>
        <v/>
      </c>
      <c r="N10" s="16">
        <f>ROUND((H10/100)*200,0)</f>
        <v/>
      </c>
      <c r="O10" s="28">
        <f>ROUND((I10/100)*200,0)</f>
        <v/>
      </c>
    </row>
    <row r="11" ht="16" customHeight="1">
      <c r="B11" s="70" t="n"/>
      <c r="C11" s="72" t="n"/>
      <c r="D11" s="4" t="inlineStr">
        <is>
          <t>python</t>
        </is>
      </c>
      <c r="E11" s="66" t="n">
        <v>7.5</v>
      </c>
      <c r="F11" s="37" t="n">
        <v>59.5</v>
      </c>
      <c r="G11" s="66" t="n">
        <v>11</v>
      </c>
      <c r="H11" s="37" t="n">
        <v>21.5</v>
      </c>
      <c r="I11" s="6" t="n">
        <v>0.5</v>
      </c>
      <c r="J11" s="75" t="n"/>
      <c r="K11" s="29">
        <f>ROUND((E11/100)*200,0)</f>
        <v/>
      </c>
      <c r="L11" s="26">
        <f>ROUND((F11/100)*200,0)</f>
        <v/>
      </c>
      <c r="M11" s="29">
        <f>ROUND((G11/100)*200,0)</f>
        <v/>
      </c>
      <c r="N11" s="26">
        <f>ROUND((H11/100)*200,0)</f>
        <v/>
      </c>
      <c r="O11" s="29">
        <f>ROUND((I11/100)*200,0)</f>
        <v/>
      </c>
    </row>
    <row r="12" ht="16" customHeight="1">
      <c r="B12" s="70" t="n"/>
      <c r="C12" s="59" t="inlineStr">
        <is>
          <t>go</t>
        </is>
      </c>
      <c r="D12" s="4" t="inlineStr">
        <is>
          <t>c++</t>
        </is>
      </c>
      <c r="E12" s="9" t="n">
        <v>33.5</v>
      </c>
      <c r="F12" s="39" t="n">
        <v>44</v>
      </c>
      <c r="G12" s="9" t="n">
        <v>1</v>
      </c>
      <c r="H12" s="39" t="n">
        <v>21</v>
      </c>
      <c r="I12" s="10" t="n">
        <v>0.5</v>
      </c>
      <c r="J12" s="65">
        <f>ROUND(AVERAGE(E12:E15),1)</f>
        <v/>
      </c>
      <c r="K12" s="28">
        <f>ROUND((E12/100)*200,0)</f>
        <v/>
      </c>
      <c r="L12" s="16">
        <f>ROUND((F12/100)*200,0)</f>
        <v/>
      </c>
      <c r="M12" s="28">
        <f>ROUND((G12/100)*200,0)</f>
        <v/>
      </c>
      <c r="N12" s="16">
        <f>ROUND((H12/100)*200,0)</f>
        <v/>
      </c>
      <c r="O12" s="28">
        <f>ROUND((I12/100)*200,0)</f>
        <v/>
      </c>
    </row>
    <row r="13" ht="16" customHeight="1">
      <c r="B13" s="70" t="n"/>
      <c r="C13" s="71" t="n"/>
      <c r="D13" s="4" t="inlineStr">
        <is>
          <t>c</t>
        </is>
      </c>
      <c r="E13" s="66" t="n">
        <v>15</v>
      </c>
      <c r="F13" s="37" t="n">
        <v>75</v>
      </c>
      <c r="G13" s="66" t="n">
        <v>0</v>
      </c>
      <c r="H13" s="37" t="n">
        <v>10</v>
      </c>
      <c r="I13" s="6" t="n">
        <v>0</v>
      </c>
      <c r="K13" s="28">
        <f>ROUND((E13/100)*200,0)</f>
        <v/>
      </c>
      <c r="L13" s="16">
        <f>ROUND((F13/100)*200,0)</f>
        <v/>
      </c>
      <c r="M13" s="28">
        <f>ROUND((G13/100)*200,0)</f>
        <v/>
      </c>
      <c r="N13" s="16">
        <f>ROUND((H13/100)*200,0)</f>
        <v/>
      </c>
      <c r="O13" s="28">
        <f>ROUND((I13/100)*200,0)</f>
        <v/>
      </c>
    </row>
    <row r="14" ht="16" customHeight="1">
      <c r="B14" s="70" t="n"/>
      <c r="C14" s="71" t="n"/>
      <c r="D14" s="4" t="inlineStr">
        <is>
          <t>java</t>
        </is>
      </c>
      <c r="E14" s="66" t="n">
        <v>0</v>
      </c>
      <c r="F14" s="37" t="n">
        <v>95.5</v>
      </c>
      <c r="G14" s="66" t="n">
        <v>3</v>
      </c>
      <c r="H14" s="37" t="n">
        <v>1</v>
      </c>
      <c r="I14" s="6" t="n">
        <v>0.5</v>
      </c>
      <c r="K14" s="28">
        <f>ROUND((E14/100)*200,0)</f>
        <v/>
      </c>
      <c r="L14" s="16">
        <f>ROUND((F14/100)*200,0)</f>
        <v/>
      </c>
      <c r="M14" s="28">
        <f>ROUND((G14/100)*200,0)</f>
        <v/>
      </c>
      <c r="N14" s="16">
        <f>ROUND((H14/100)*200,0)</f>
        <v/>
      </c>
      <c r="O14" s="28">
        <f>ROUND((I14/100)*200,0)</f>
        <v/>
      </c>
    </row>
    <row r="15" ht="16" customHeight="1">
      <c r="B15" s="70" t="n"/>
      <c r="C15" s="72" t="n"/>
      <c r="D15" s="4" t="inlineStr">
        <is>
          <t>python</t>
        </is>
      </c>
      <c r="E15" s="7" t="n">
        <v>8.5</v>
      </c>
      <c r="F15" s="38" t="n">
        <v>61</v>
      </c>
      <c r="G15" s="7" t="n">
        <v>20.5</v>
      </c>
      <c r="H15" s="38" t="n">
        <v>10</v>
      </c>
      <c r="I15" s="8" t="n">
        <v>0</v>
      </c>
      <c r="K15" s="28">
        <f>ROUND((E15/100)*200,0)</f>
        <v/>
      </c>
      <c r="L15" s="16">
        <f>ROUND((F15/100)*200,0)</f>
        <v/>
      </c>
      <c r="M15" s="28">
        <f>ROUND((G15/100)*200,0)</f>
        <v/>
      </c>
      <c r="N15" s="16">
        <f>ROUND((H15/100)*200,0)</f>
        <v/>
      </c>
      <c r="O15" s="28">
        <f>ROUND((I15/100)*200,0)</f>
        <v/>
      </c>
    </row>
    <row r="16" ht="16" customHeight="1">
      <c r="B16" s="70" t="n"/>
      <c r="C16" s="52" t="inlineStr">
        <is>
          <t>java</t>
        </is>
      </c>
      <c r="D16" s="4" t="inlineStr">
        <is>
          <t>c++</t>
        </is>
      </c>
      <c r="E16" s="66" t="n">
        <v>38</v>
      </c>
      <c r="F16" s="37" t="n">
        <v>39.5</v>
      </c>
      <c r="G16" s="66" t="n">
        <v>0</v>
      </c>
      <c r="H16" s="37" t="n">
        <v>22.5</v>
      </c>
      <c r="I16" s="6" t="n">
        <v>0</v>
      </c>
      <c r="J16" s="73">
        <f>ROUND(AVERAGE(E16:E19),1)</f>
        <v/>
      </c>
      <c r="K16" s="27">
        <f>ROUND((E16/100)*200,0)</f>
        <v/>
      </c>
      <c r="L16" s="35">
        <f>ROUND((F16/100)*200,0)</f>
        <v/>
      </c>
      <c r="M16" s="27">
        <f>ROUND((G16/100)*200,0)</f>
        <v/>
      </c>
      <c r="N16" s="35">
        <f>ROUND((H16/100)*200,0)</f>
        <v/>
      </c>
      <c r="O16" s="27">
        <f>ROUND((I16/100)*200,0)</f>
        <v/>
      </c>
    </row>
    <row r="17" ht="16" customHeight="1">
      <c r="B17" s="70" t="n"/>
      <c r="C17" s="71" t="n"/>
      <c r="D17" s="4" t="inlineStr">
        <is>
          <t>go</t>
        </is>
      </c>
      <c r="E17" s="66" t="n">
        <v>12</v>
      </c>
      <c r="F17" s="37" t="n">
        <v>82.5</v>
      </c>
      <c r="G17" s="66" t="n">
        <v>0.5</v>
      </c>
      <c r="H17" s="37" t="n">
        <v>4.5</v>
      </c>
      <c r="I17" s="6" t="n">
        <v>0.5</v>
      </c>
      <c r="J17" s="74" t="n"/>
      <c r="K17" s="28">
        <f>ROUND((E17/100)*200,0)</f>
        <v/>
      </c>
      <c r="L17" s="16">
        <f>ROUND((F17/100)*200,0)</f>
        <v/>
      </c>
      <c r="M17" s="28">
        <f>ROUND((G17/100)*200,0)</f>
        <v/>
      </c>
      <c r="N17" s="16">
        <f>ROUND((H17/100)*200,0)</f>
        <v/>
      </c>
      <c r="O17" s="28">
        <f>ROUND((I17/100)*200,0)</f>
        <v/>
      </c>
    </row>
    <row r="18" ht="16" customHeight="1">
      <c r="B18" s="70" t="n"/>
      <c r="C18" s="71" t="n"/>
      <c r="D18" s="4" t="inlineStr">
        <is>
          <t>c</t>
        </is>
      </c>
      <c r="E18" s="66" t="n">
        <v>28.5</v>
      </c>
      <c r="F18" s="37" t="n">
        <v>42</v>
      </c>
      <c r="G18" s="66" t="n">
        <v>0</v>
      </c>
      <c r="H18" s="37" t="n">
        <v>30</v>
      </c>
      <c r="I18" s="6" t="n">
        <v>0.5</v>
      </c>
      <c r="J18" s="74" t="n"/>
      <c r="K18" s="28">
        <f>ROUND((E18/100)*200,0)</f>
        <v/>
      </c>
      <c r="L18" s="16">
        <f>ROUND((F18/100)*200,0)</f>
        <v/>
      </c>
      <c r="M18" s="28">
        <f>ROUND((G18/100)*200,0)</f>
        <v/>
      </c>
      <c r="N18" s="16">
        <f>ROUND((H18/100)*200,0)</f>
        <v/>
      </c>
      <c r="O18" s="28">
        <f>ROUND((I18/100)*200,0)</f>
        <v/>
      </c>
    </row>
    <row r="19" ht="16" customHeight="1">
      <c r="B19" s="70" t="n"/>
      <c r="C19" s="72" t="n"/>
      <c r="D19" s="4" t="inlineStr">
        <is>
          <t>python</t>
        </is>
      </c>
      <c r="E19" s="66" t="n">
        <v>6.5</v>
      </c>
      <c r="F19" s="37" t="n">
        <v>55.5</v>
      </c>
      <c r="G19" s="66" t="n">
        <v>29</v>
      </c>
      <c r="H19" s="37" t="n">
        <v>9</v>
      </c>
      <c r="I19" s="6" t="n">
        <v>0</v>
      </c>
      <c r="J19" s="75" t="n"/>
      <c r="K19" s="29">
        <f>ROUND((E19/100)*200,0)</f>
        <v/>
      </c>
      <c r="L19" s="26">
        <f>ROUND((F19/100)*200,0)</f>
        <v/>
      </c>
      <c r="M19" s="29">
        <f>ROUND((G19/100)*200,0)</f>
        <v/>
      </c>
      <c r="N19" s="26">
        <f>ROUND((H19/100)*200,0)</f>
        <v/>
      </c>
      <c r="O19" s="29">
        <f>ROUND((I19/100)*200,0)</f>
        <v/>
      </c>
    </row>
    <row r="20" ht="16" customHeight="1">
      <c r="B20" s="70" t="n"/>
      <c r="C20" s="53" t="inlineStr">
        <is>
          <t>python</t>
        </is>
      </c>
      <c r="D20" s="4" t="inlineStr">
        <is>
          <t>c++</t>
        </is>
      </c>
      <c r="E20" s="9" t="n">
        <v>39</v>
      </c>
      <c r="F20" s="39" t="n">
        <v>39</v>
      </c>
      <c r="G20" s="9" t="n">
        <v>0</v>
      </c>
      <c r="H20" s="39" t="n">
        <v>22</v>
      </c>
      <c r="I20" s="10" t="n">
        <v>0</v>
      </c>
      <c r="J20" s="63">
        <f>ROUND(AVERAGE(E20:E23),1)</f>
        <v/>
      </c>
      <c r="K20" s="28">
        <f>ROUND((E20/100)*200,0)</f>
        <v/>
      </c>
      <c r="L20" s="16">
        <f>ROUND((F20/100)*200,0)</f>
        <v/>
      </c>
      <c r="M20" s="28">
        <f>ROUND((G20/100)*200,0)</f>
        <v/>
      </c>
      <c r="N20" s="16">
        <f>ROUND((H20/100)*200,0)</f>
        <v/>
      </c>
      <c r="O20" s="28">
        <f>ROUND((I20/100)*200,0)</f>
        <v/>
      </c>
    </row>
    <row r="21" ht="16" customHeight="1">
      <c r="B21" s="70" t="n"/>
      <c r="C21" s="71" t="n"/>
      <c r="D21" s="4" t="inlineStr">
        <is>
          <t>go</t>
        </is>
      </c>
      <c r="E21" s="66" t="n">
        <v>1.5</v>
      </c>
      <c r="F21" s="37" t="n">
        <v>98.5</v>
      </c>
      <c r="G21" s="66" t="n">
        <v>0</v>
      </c>
      <c r="H21" s="37" t="n">
        <v>0</v>
      </c>
      <c r="I21" s="6" t="n">
        <v>0</v>
      </c>
      <c r="J21" s="70" t="n"/>
      <c r="K21" s="28">
        <f>ROUND((E21/100)*200,0)</f>
        <v/>
      </c>
      <c r="L21" s="16">
        <f>ROUND((F21/100)*200,0)</f>
        <v/>
      </c>
      <c r="M21" s="28">
        <f>ROUND((G21/100)*200,0)</f>
        <v/>
      </c>
      <c r="N21" s="16">
        <f>ROUND((H21/100)*200,0)</f>
        <v/>
      </c>
      <c r="O21" s="28">
        <f>ROUND((I21/100)*200,0)</f>
        <v/>
      </c>
    </row>
    <row r="22" ht="16" customHeight="1">
      <c r="B22" s="70" t="n"/>
      <c r="C22" s="71" t="n"/>
      <c r="D22" s="4" t="inlineStr">
        <is>
          <t>java</t>
        </is>
      </c>
      <c r="E22" s="66" t="n">
        <v>0</v>
      </c>
      <c r="F22" s="37" t="n">
        <v>67</v>
      </c>
      <c r="G22" s="66" t="n">
        <v>32</v>
      </c>
      <c r="H22" s="37" t="n">
        <v>1</v>
      </c>
      <c r="I22" s="6" t="n">
        <v>0</v>
      </c>
      <c r="J22" s="70" t="n"/>
      <c r="K22" s="28">
        <f>ROUND((E22/100)*200,0)</f>
        <v/>
      </c>
      <c r="L22" s="16">
        <f>ROUND((F22/100)*200,0)</f>
        <v/>
      </c>
      <c r="M22" s="28">
        <f>ROUND((G22/100)*200,0)</f>
        <v/>
      </c>
      <c r="N22" s="16">
        <f>ROUND((H22/100)*200,0)</f>
        <v/>
      </c>
      <c r="O22" s="28">
        <f>ROUND((I22/100)*200,0)</f>
        <v/>
      </c>
    </row>
    <row r="23" ht="16" customHeight="1">
      <c r="B23" s="76" t="n"/>
      <c r="C23" s="72" t="n"/>
      <c r="D23" s="4" t="inlineStr">
        <is>
          <t>c</t>
        </is>
      </c>
      <c r="E23" s="66" t="n">
        <v>29.5</v>
      </c>
      <c r="F23" s="37" t="n">
        <v>47</v>
      </c>
      <c r="G23" s="66" t="n">
        <v>0</v>
      </c>
      <c r="H23" s="37" t="n">
        <v>22</v>
      </c>
      <c r="I23" s="6" t="n">
        <v>1.5</v>
      </c>
      <c r="J23" s="70" t="n"/>
      <c r="K23" s="28">
        <f>ROUND((E23/100)*200,0)</f>
        <v/>
      </c>
      <c r="L23" s="16">
        <f>ROUND((F23/100)*200,0)</f>
        <v/>
      </c>
      <c r="M23" s="28">
        <f>ROUND((G23/100)*200,0)</f>
        <v/>
      </c>
      <c r="N23" s="16">
        <f>ROUND((H23/100)*200,0)</f>
        <v/>
      </c>
      <c r="O23" s="28">
        <f>ROUND((I23/100)*200,0)</f>
        <v/>
      </c>
    </row>
    <row r="24" ht="16" customHeight="1">
      <c r="B24" s="50" t="inlineStr">
        <is>
          <t>avatar</t>
        </is>
      </c>
      <c r="C24" s="52" t="inlineStr">
        <is>
          <t>java</t>
        </is>
      </c>
      <c r="D24" s="4" t="inlineStr">
        <is>
          <t>c++</t>
        </is>
      </c>
      <c r="E24" s="9" t="n">
        <v>15.75</v>
      </c>
      <c r="F24" s="39" t="n">
        <v>46.46</v>
      </c>
      <c r="G24" s="9" t="n">
        <v>0</v>
      </c>
      <c r="H24" s="39" t="n">
        <v>31.89</v>
      </c>
      <c r="I24" s="10" t="n">
        <v>5.9</v>
      </c>
      <c r="J24" s="73">
        <f>ROUND(AVERAGE(E24:E27),1)</f>
        <v/>
      </c>
      <c r="K24" s="43">
        <f>ROUND((E24/100)*249,0)</f>
        <v/>
      </c>
      <c r="L24" s="27">
        <f>ROUND((F24/100)*249,0)</f>
        <v/>
      </c>
      <c r="M24" s="35">
        <f>ROUND((G24/100)*249,0)</f>
        <v/>
      </c>
      <c r="N24" s="27">
        <f>ROUND((H24/100)*249,0)</f>
        <v/>
      </c>
      <c r="O24" s="46">
        <f>ROUND((I24/100)*249,0)</f>
        <v/>
      </c>
    </row>
    <row r="25" ht="16" customHeight="1">
      <c r="B25" s="70" t="n"/>
      <c r="C25" s="71" t="n"/>
      <c r="D25" s="4" t="inlineStr">
        <is>
          <t>go</t>
        </is>
      </c>
      <c r="E25" s="66" t="n">
        <v>1.2</v>
      </c>
      <c r="F25" s="37" t="n">
        <v>92.40000000000001</v>
      </c>
      <c r="G25" s="66" t="n">
        <v>0.8</v>
      </c>
      <c r="H25" s="37" t="n">
        <v>5.2</v>
      </c>
      <c r="I25" s="6" t="n">
        <v>0.4</v>
      </c>
      <c r="J25" s="74" t="n"/>
      <c r="K25" s="41">
        <f>ROUND((E25/100)*249,0)</f>
        <v/>
      </c>
      <c r="L25" s="28">
        <f>ROUND((F25/100)*249,0)</f>
        <v/>
      </c>
      <c r="M25" s="16">
        <f>ROUND((G25/100)*249,0)</f>
        <v/>
      </c>
      <c r="N25" s="28">
        <f>ROUND((H25/100)*249,0)</f>
        <v/>
      </c>
      <c r="O25" s="42">
        <f>ROUND((I25/100)*249,0)</f>
        <v/>
      </c>
    </row>
    <row r="26" ht="16" customHeight="1">
      <c r="B26" s="70" t="n"/>
      <c r="C26" s="71" t="n"/>
      <c r="D26" s="4" t="inlineStr">
        <is>
          <t>c</t>
        </is>
      </c>
      <c r="E26" s="66" t="n">
        <v>15.08</v>
      </c>
      <c r="F26" s="37" t="n">
        <v>50</v>
      </c>
      <c r="G26" s="66" t="n">
        <v>0</v>
      </c>
      <c r="H26" s="37" t="n">
        <v>33.3</v>
      </c>
      <c r="I26" s="6" t="n">
        <v>1.59</v>
      </c>
      <c r="J26" s="74" t="n"/>
      <c r="K26" s="41">
        <f>ROUND((E26/100)*249,0)</f>
        <v/>
      </c>
      <c r="L26" s="28">
        <f>ROUND((F26/100)*249,0)</f>
        <v/>
      </c>
      <c r="M26" s="16">
        <f>ROUND((G26/100)*249,0)</f>
        <v/>
      </c>
      <c r="N26" s="28">
        <f>ROUND((H26/100)*249,0)</f>
        <v/>
      </c>
      <c r="O26" s="42">
        <f>ROUND((I26/100)*249,0)</f>
        <v/>
      </c>
    </row>
    <row r="27" ht="16" customHeight="1">
      <c r="B27" s="70" t="n"/>
      <c r="C27" s="72" t="n"/>
      <c r="D27" s="4" t="inlineStr">
        <is>
          <t>python</t>
        </is>
      </c>
      <c r="E27" s="66" t="n">
        <v>0.4</v>
      </c>
      <c r="F27" s="37" t="n">
        <v>56.63</v>
      </c>
      <c r="G27" s="66" t="n">
        <v>19.68</v>
      </c>
      <c r="H27" s="37" t="n">
        <v>22.89</v>
      </c>
      <c r="I27" s="6" t="n">
        <v>0.4</v>
      </c>
      <c r="J27" s="75" t="n"/>
      <c r="K27" s="44">
        <f>ROUND((E27/100)*249,0)</f>
        <v/>
      </c>
      <c r="L27" s="29">
        <f>ROUND((F27/100)*249,0)</f>
        <v/>
      </c>
      <c r="M27" s="26">
        <f>ROUND((G27/100)*249,0)</f>
        <v/>
      </c>
      <c r="N27" s="29">
        <f>ROUND((H27/100)*249,0)</f>
        <v/>
      </c>
      <c r="O27" s="45">
        <f>ROUND((I27/100)*249,0)</f>
        <v/>
      </c>
    </row>
    <row r="28" ht="16" customHeight="1">
      <c r="B28" s="70" t="n"/>
      <c r="C28" s="53" t="inlineStr">
        <is>
          <t>python</t>
        </is>
      </c>
      <c r="D28" s="4" t="inlineStr">
        <is>
          <t>c++</t>
        </is>
      </c>
      <c r="E28" s="9" t="n">
        <v>9.23</v>
      </c>
      <c r="F28" s="39" t="n">
        <v>51.92</v>
      </c>
      <c r="G28" s="9" t="n">
        <v>0</v>
      </c>
      <c r="H28" s="39" t="n">
        <v>35.84</v>
      </c>
      <c r="I28" s="10" t="n">
        <v>3.46</v>
      </c>
      <c r="J28" s="63">
        <f>ROUND(AVERAGE(E28:E31),1)</f>
        <v/>
      </c>
      <c r="K28" s="41">
        <f>ROUND((E28/100)*250,0)</f>
        <v/>
      </c>
      <c r="L28" s="41">
        <f>ROUND((F28/100)*250,0)</f>
        <v/>
      </c>
      <c r="M28" s="41">
        <f>ROUND((G28/100)*250,0)</f>
        <v/>
      </c>
      <c r="N28" s="28">
        <f>ROUND((H28/100)*250,0)</f>
        <v/>
      </c>
      <c r="O28" s="28">
        <f>ROUND((I28/100)*250,0)</f>
        <v/>
      </c>
    </row>
    <row r="29" ht="16" customHeight="1">
      <c r="B29" s="70" t="n"/>
      <c r="C29" s="71" t="n"/>
      <c r="D29" s="4" t="inlineStr">
        <is>
          <t>go</t>
        </is>
      </c>
      <c r="E29" s="66" t="n">
        <v>0</v>
      </c>
      <c r="F29" s="37" t="n">
        <v>0</v>
      </c>
      <c r="G29" s="66" t="n">
        <v>98</v>
      </c>
      <c r="H29" s="37" t="n">
        <v>2</v>
      </c>
      <c r="I29" s="6" t="n">
        <v>0</v>
      </c>
      <c r="J29" s="70" t="n"/>
      <c r="K29" s="41">
        <f>ROUND((E29/100)*250,0)</f>
        <v/>
      </c>
      <c r="L29" s="41">
        <f>ROUND((F29/100)*250,0)</f>
        <v/>
      </c>
      <c r="M29" s="41">
        <f>ROUND((G29/100)*250,0)</f>
        <v/>
      </c>
      <c r="N29" s="28">
        <f>ROUND((H29/100)*250,0)</f>
        <v/>
      </c>
      <c r="O29" s="28">
        <f>ROUND((I29/100)*250,0)</f>
        <v/>
      </c>
    </row>
    <row r="30" ht="16" customHeight="1">
      <c r="B30" s="70" t="n"/>
      <c r="C30" s="71" t="n"/>
      <c r="D30" s="4" t="inlineStr">
        <is>
          <t>java</t>
        </is>
      </c>
      <c r="E30" s="66" t="n">
        <v>0.4</v>
      </c>
      <c r="F30" s="37" t="n">
        <v>64</v>
      </c>
      <c r="G30" s="66" t="n">
        <v>33.2</v>
      </c>
      <c r="H30" s="37" t="n">
        <v>2.4</v>
      </c>
      <c r="I30" s="6" t="n">
        <v>0</v>
      </c>
      <c r="J30" s="70" t="n"/>
      <c r="K30" s="41">
        <f>ROUND((E30/100)*250,0)</f>
        <v/>
      </c>
      <c r="L30" s="41">
        <f>ROUND((F30/100)*250,0)</f>
        <v/>
      </c>
      <c r="M30" s="41">
        <f>ROUND((G30/100)*250,0)</f>
        <v/>
      </c>
      <c r="N30" s="28">
        <f>ROUND((H30/100)*250,0)</f>
        <v/>
      </c>
      <c r="O30" s="28">
        <f>ROUND((I30/100)*250,0)</f>
        <v/>
      </c>
    </row>
    <row r="31" ht="16" customHeight="1">
      <c r="B31" s="76" t="n"/>
      <c r="C31" s="72" t="n"/>
      <c r="D31" s="12" t="inlineStr">
        <is>
          <t>c</t>
        </is>
      </c>
      <c r="E31" s="66" t="n">
        <v>5.55</v>
      </c>
      <c r="F31" s="49" t="n">
        <v>71.81999999999999</v>
      </c>
      <c r="G31" s="66" t="n">
        <v>0</v>
      </c>
      <c r="H31" s="49" t="n">
        <v>21.43</v>
      </c>
      <c r="I31" s="6" t="n">
        <v>1.19</v>
      </c>
      <c r="J31" s="70" t="n"/>
      <c r="K31" s="28">
        <f>ROUND((E31/100)*250,0)</f>
        <v/>
      </c>
      <c r="L31" s="16">
        <f>ROUND((F31/100)*250,0)</f>
        <v/>
      </c>
      <c r="M31" s="28">
        <f>ROUND((G31/100)*250,0)</f>
        <v/>
      </c>
      <c r="N31" s="16">
        <f>ROUND((H31/100)*250,0)</f>
        <v/>
      </c>
      <c r="O31" s="28">
        <f>ROUND((I31/100)*250,0)</f>
        <v/>
      </c>
    </row>
    <row r="32" ht="16" customHeight="1">
      <c r="B32" s="13" t="inlineStr">
        <is>
          <t>evalplus</t>
        </is>
      </c>
      <c r="C32" s="53" t="inlineStr">
        <is>
          <t>python</t>
        </is>
      </c>
      <c r="D32" s="4" t="inlineStr">
        <is>
          <t>java</t>
        </is>
      </c>
      <c r="E32" s="4" t="n">
        <v>16.47</v>
      </c>
      <c r="F32" s="48" t="n">
        <v>42.68</v>
      </c>
      <c r="G32" s="4" t="n">
        <v>6.09</v>
      </c>
      <c r="H32" s="48" t="n">
        <v>34.75</v>
      </c>
      <c r="I32" s="4" t="n">
        <v>0</v>
      </c>
      <c r="J32" s="33">
        <f>ROUND(E32,1)</f>
        <v/>
      </c>
      <c r="K32" s="34">
        <f>ROUND((E32/100)*164,0)</f>
        <v/>
      </c>
      <c r="L32" s="31">
        <f>ROUND((F32/100)*164,0)</f>
        <v/>
      </c>
      <c r="M32" s="34">
        <f>ROUND((G32/100)*164,0)</f>
        <v/>
      </c>
      <c r="N32" s="31">
        <f>ROUND((H32/100)*164,0)</f>
        <v/>
      </c>
      <c r="O32" s="34">
        <f>ROUND((I32/100)*164,0)</f>
        <v/>
      </c>
    </row>
    <row r="33" ht="16" customHeight="1">
      <c r="B33" s="18" t="inlineStr">
        <is>
          <t>Commons-CLI</t>
        </is>
      </c>
      <c r="C33" s="25" t="inlineStr">
        <is>
          <t>Java</t>
        </is>
      </c>
      <c r="D33" s="14" t="inlineStr">
        <is>
          <t>python</t>
        </is>
      </c>
      <c r="E33" s="15" t="n">
        <v>0</v>
      </c>
      <c r="F33" s="37" t="n">
        <v>100</v>
      </c>
      <c r="G33" s="66" t="n">
        <v>0</v>
      </c>
      <c r="H33" s="37" t="n">
        <v>0</v>
      </c>
      <c r="I33" s="6" t="n">
        <v>0</v>
      </c>
      <c r="J33" s="16">
        <f>ROUND(E33,1)</f>
        <v/>
      </c>
      <c r="K33" s="28">
        <f>ROUND((E33/100)*22,0)</f>
        <v/>
      </c>
      <c r="L33" s="16">
        <f>ROUND((F33/100)*22,0)</f>
        <v/>
      </c>
      <c r="M33" s="28">
        <f>ROUND((G33/100)*22,0)</f>
        <v/>
      </c>
      <c r="N33" s="16">
        <f>ROUND((H33/100)*22,0)</f>
        <v/>
      </c>
      <c r="O33" s="28">
        <f>ROUND((I33/100)*22,0)</f>
        <v/>
      </c>
    </row>
    <row r="34" ht="16" customHeight="1">
      <c r="B34" s="30" t="inlineStr">
        <is>
          <t>Click</t>
        </is>
      </c>
      <c r="C34" s="47" t="inlineStr">
        <is>
          <t>python</t>
        </is>
      </c>
      <c r="D34" s="40" t="inlineStr">
        <is>
          <t>java</t>
        </is>
      </c>
      <c r="E34" s="66" t="n">
        <v>0</v>
      </c>
      <c r="F34" s="37" t="n">
        <v>100</v>
      </c>
      <c r="G34" s="66" t="n">
        <v>0</v>
      </c>
      <c r="H34" s="37" t="n">
        <v>0</v>
      </c>
      <c r="I34" s="6" t="n">
        <v>0</v>
      </c>
      <c r="J34" s="16">
        <f>ROUND(E34,1)</f>
        <v/>
      </c>
      <c r="K34" s="28">
        <f>ROUND((E34/100)*15,0)</f>
        <v/>
      </c>
      <c r="L34" s="16">
        <f>ROUND((F34/100)*15,0)</f>
        <v/>
      </c>
      <c r="M34" s="28">
        <f>ROUND((G34/100)*15,0)</f>
        <v/>
      </c>
      <c r="N34" s="16">
        <f>ROUND((H34/100)*15,0)</f>
        <v/>
      </c>
      <c r="O34" s="28">
        <f>ROUND((I34/100)*15,0)</f>
        <v/>
      </c>
    </row>
    <row r="35">
      <c r="B35" s="55" t="inlineStr">
        <is>
          <t>Total/Average</t>
        </is>
      </c>
      <c r="C35" s="77" t="n"/>
      <c r="D35" s="77" t="n"/>
      <c r="E35" s="34">
        <f>AVERAGE(AVERAGE(E4:E23),AVERAGE(E24:E31),E32,E33,E34)</f>
        <v/>
      </c>
      <c r="F35" s="34">
        <f>AVERAGE(AVERAGE(F4:F23),AVERAGE(F24:F31),F32,F33,F34)</f>
        <v/>
      </c>
      <c r="G35" s="31">
        <f>AVERAGE(AVERAGE(G4:G23),AVERAGE(G24:G31),G32,G33,G34)</f>
        <v/>
      </c>
      <c r="H35" s="34">
        <f>AVERAGE(AVERAGE(H4:H23),AVERAGE(H24:H31),H32,H33,H34)</f>
        <v/>
      </c>
      <c r="I35" s="31">
        <f>AVERAGE(AVERAGE(I4:I23),AVERAGE(I24:I31),I32,I33,I34)</f>
        <v/>
      </c>
      <c r="J35" s="34">
        <f>ROUND(AVERAGE(AVERAGE(J4:J23),AVERAGE(J24:J31),J32,J33,J34),1)</f>
        <v/>
      </c>
      <c r="K35" s="34">
        <f>ROUND(AVERAGE(K4:K34),0)</f>
        <v/>
      </c>
      <c r="L35" s="34">
        <f>ROUND(AVERAGE(L4:L34),0)</f>
        <v/>
      </c>
      <c r="M35" s="34">
        <f>ROUND(AVERAGE(M4:M34),0)</f>
        <v/>
      </c>
      <c r="N35" s="34">
        <f>ROUND(AVERAGE(N4:N34),0)</f>
        <v/>
      </c>
      <c r="O35" s="34">
        <f>ROUND(AVERAGE(O4:O34),0)</f>
        <v/>
      </c>
    </row>
  </sheetData>
  <mergeCells count="17">
    <mergeCell ref="C4:C7"/>
    <mergeCell ref="C28:C31"/>
    <mergeCell ref="J4:J7"/>
    <mergeCell ref="J12:J15"/>
    <mergeCell ref="J28:J31"/>
    <mergeCell ref="B4:B23"/>
    <mergeCell ref="C8:C11"/>
    <mergeCell ref="B35:D35"/>
    <mergeCell ref="C16:C19"/>
    <mergeCell ref="C20:C23"/>
    <mergeCell ref="C12:C15"/>
    <mergeCell ref="J8:J11"/>
    <mergeCell ref="J16:J19"/>
    <mergeCell ref="J20:J23"/>
    <mergeCell ref="B24:B31"/>
    <mergeCell ref="J24:J27"/>
    <mergeCell ref="C24:C27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O35"/>
  <sheetViews>
    <sheetView workbookViewId="0">
      <selection activeCell="E38" sqref="E38"/>
    </sheetView>
  </sheetViews>
  <sheetFormatPr baseColWidth="10" defaultColWidth="8.83203125" defaultRowHeight="15"/>
  <cols>
    <col width="8.83203125" customWidth="1" style="16" min="1" max="1"/>
    <col width="11.5" customWidth="1" style="16" min="2" max="2"/>
    <col width="15" customWidth="1" style="16" min="3" max="3"/>
    <col width="12.5" customWidth="1" style="16" min="4" max="4"/>
    <col width="18.6640625" customWidth="1" style="16" min="5" max="5"/>
    <col width="26.33203125" customWidth="1" style="16" min="6" max="6"/>
    <col width="24.1640625" customWidth="1" style="16" min="7" max="7"/>
    <col width="22.83203125" customWidth="1" style="16" min="8" max="8"/>
    <col width="21.5" customWidth="1" style="16" min="9" max="9"/>
    <col width="16.6640625" customWidth="1" style="16" min="10" max="10"/>
    <col width="13.6640625" customWidth="1" style="16" min="11" max="11"/>
    <col width="15.83203125" customWidth="1" style="16" min="12" max="12"/>
    <col width="14.1640625" customWidth="1" style="16" min="13" max="13"/>
    <col width="13.6640625" customWidth="1" style="16" min="14" max="14"/>
    <col width="18.6640625" customWidth="1" style="16" min="15" max="15"/>
    <col width="8.83203125" customWidth="1" style="16" min="16" max="16384"/>
  </cols>
  <sheetData>
    <row r="3" ht="16" customHeight="1">
      <c r="B3" s="1" t="inlineStr">
        <is>
          <t>dataset</t>
        </is>
      </c>
      <c r="C3" s="2" t="inlineStr">
        <is>
          <t>source</t>
        </is>
      </c>
      <c r="D3" s="2" t="inlineStr">
        <is>
          <t>target</t>
        </is>
      </c>
      <c r="E3" s="3" t="inlineStr">
        <is>
          <t>script accuracy %</t>
        </is>
      </c>
      <c r="F3" s="2" t="inlineStr">
        <is>
          <t>script compilation error %</t>
        </is>
      </c>
      <c r="G3" s="3" t="inlineStr">
        <is>
          <t>script runtime error %</t>
        </is>
      </c>
      <c r="H3" s="2" t="inlineStr">
        <is>
          <t>script wrong output %</t>
        </is>
      </c>
      <c r="I3" s="1" t="inlineStr">
        <is>
          <t>script infinite loop %</t>
        </is>
      </c>
      <c r="J3" s="17" t="inlineStr">
        <is>
          <t>avg source acc %</t>
        </is>
      </c>
      <c r="K3" s="18" t="inlineStr">
        <is>
          <t>num correct</t>
        </is>
      </c>
      <c r="L3" s="18" t="inlineStr">
        <is>
          <t>num compilation</t>
        </is>
      </c>
      <c r="M3" s="18" t="inlineStr">
        <is>
          <t>num runtime</t>
        </is>
      </c>
      <c r="N3" s="18" t="inlineStr">
        <is>
          <t>num incorrect</t>
        </is>
      </c>
      <c r="O3" s="18" t="inlineStr">
        <is>
          <t>num non-terminating</t>
        </is>
      </c>
    </row>
    <row r="4" ht="16" customHeight="1">
      <c r="B4" s="50" t="inlineStr">
        <is>
          <t>codenet</t>
        </is>
      </c>
      <c r="C4" s="57" t="inlineStr">
        <is>
          <t>c</t>
        </is>
      </c>
      <c r="D4" s="4" t="inlineStr">
        <is>
          <t>c++</t>
        </is>
      </c>
      <c r="E4" s="66" t="n">
        <v>50</v>
      </c>
      <c r="F4" s="36" t="n">
        <v>32.5</v>
      </c>
      <c r="G4" s="66" t="n">
        <v>0</v>
      </c>
      <c r="H4" s="36" t="n">
        <v>17.5</v>
      </c>
      <c r="I4" s="6" t="n">
        <v>0</v>
      </c>
      <c r="J4" s="63">
        <f>ROUND(AVERAGE(E4:E7),1)</f>
        <v/>
      </c>
      <c r="K4" s="27">
        <f>ROUND((E4/100)*200,0)</f>
        <v/>
      </c>
      <c r="L4" s="16">
        <f>ROUND((F4/100)*200,0)</f>
        <v/>
      </c>
      <c r="M4" s="27">
        <f>ROUND((G4/100)*200,0)</f>
        <v/>
      </c>
      <c r="N4" s="16">
        <f>ROUND((H4/100)*200,0)</f>
        <v/>
      </c>
      <c r="O4" s="27">
        <f>ROUND((I4/100)*200,0)</f>
        <v/>
      </c>
    </row>
    <row r="5" ht="16" customHeight="1">
      <c r="B5" s="70" t="n"/>
      <c r="C5" s="71" t="n"/>
      <c r="D5" s="4" t="inlineStr">
        <is>
          <t>go</t>
        </is>
      </c>
      <c r="E5" s="66" t="n">
        <v>0</v>
      </c>
      <c r="F5" s="37" t="n">
        <v>99.5</v>
      </c>
      <c r="G5" s="66" t="n">
        <v>0</v>
      </c>
      <c r="H5" s="37" t="n">
        <v>0.5</v>
      </c>
      <c r="I5" s="6" t="n">
        <v>0</v>
      </c>
      <c r="J5" s="70" t="n"/>
      <c r="K5" s="28">
        <f>ROUND((E5/100)*200,0)</f>
        <v/>
      </c>
      <c r="L5" s="16">
        <f>ROUND((F5/100)*200,0)</f>
        <v/>
      </c>
      <c r="M5" s="28">
        <f>ROUND((G5/100)*200,0)</f>
        <v/>
      </c>
      <c r="N5" s="16">
        <f>ROUND((H5/100)*200,0)</f>
        <v/>
      </c>
      <c r="O5" s="28">
        <f>ROUND((I5/100)*200,0)</f>
        <v/>
      </c>
    </row>
    <row r="6" ht="16" customHeight="1">
      <c r="B6" s="70" t="n"/>
      <c r="C6" s="71" t="n"/>
      <c r="D6" s="4" t="inlineStr">
        <is>
          <t>java</t>
        </is>
      </c>
      <c r="E6" s="66" t="n">
        <v>9</v>
      </c>
      <c r="F6" s="37" t="n">
        <v>55.5</v>
      </c>
      <c r="G6" s="66" t="n">
        <v>24.5</v>
      </c>
      <c r="H6" s="37" t="n">
        <v>11</v>
      </c>
      <c r="I6" s="6" t="n">
        <v>0</v>
      </c>
      <c r="J6" s="70" t="n"/>
      <c r="K6" s="28">
        <f>ROUND((E6/100)*200,0)</f>
        <v/>
      </c>
      <c r="L6" s="16">
        <f>ROUND((F6/100)*200,0)</f>
        <v/>
      </c>
      <c r="M6" s="28">
        <f>ROUND((G6/100)*200,0)</f>
        <v/>
      </c>
      <c r="N6" s="16">
        <f>ROUND((H6/100)*200,0)</f>
        <v/>
      </c>
      <c r="O6" s="28">
        <f>ROUND((I6/100)*200,0)</f>
        <v/>
      </c>
    </row>
    <row r="7" ht="16" customHeight="1">
      <c r="B7" s="70" t="n"/>
      <c r="C7" s="72" t="n"/>
      <c r="D7" s="4" t="inlineStr">
        <is>
          <t>python</t>
        </is>
      </c>
      <c r="E7" s="7" t="n">
        <v>0.5</v>
      </c>
      <c r="F7" s="38" t="n">
        <v>80.5</v>
      </c>
      <c r="G7" s="7" t="n">
        <v>4</v>
      </c>
      <c r="H7" s="38" t="n">
        <v>15</v>
      </c>
      <c r="I7" s="8" t="n">
        <v>0</v>
      </c>
      <c r="J7" s="70" t="n"/>
      <c r="K7" s="28">
        <f>ROUND((E7/100)*200,0)</f>
        <v/>
      </c>
      <c r="L7" s="16">
        <f>ROUND((F7/100)*200,0)</f>
        <v/>
      </c>
      <c r="M7" s="28">
        <f>ROUND((G7/100)*200,0)</f>
        <v/>
      </c>
      <c r="N7" s="16">
        <f>ROUND((H7/100)*200,0)</f>
        <v/>
      </c>
      <c r="O7" s="28">
        <f>ROUND((I7/100)*200,0)</f>
        <v/>
      </c>
    </row>
    <row r="8" ht="16" customHeight="1">
      <c r="B8" s="70" t="n"/>
      <c r="C8" s="58" t="inlineStr">
        <is>
          <t>c++</t>
        </is>
      </c>
      <c r="D8" s="4" t="inlineStr">
        <is>
          <t>c</t>
        </is>
      </c>
      <c r="E8" s="66" t="n">
        <v>1</v>
      </c>
      <c r="F8" s="37" t="n">
        <v>99</v>
      </c>
      <c r="G8" s="66" t="n">
        <v>0</v>
      </c>
      <c r="H8" s="37" t="n">
        <v>0</v>
      </c>
      <c r="I8" s="66" t="n">
        <v>0</v>
      </c>
      <c r="J8" s="73">
        <f>ROUND(AVERAGE(E8:E11),1)</f>
        <v/>
      </c>
      <c r="K8" s="27">
        <f>ROUND((E8/100)*200,0)</f>
        <v/>
      </c>
      <c r="L8" s="35">
        <f>ROUND((F8/100)*200,0)</f>
        <v/>
      </c>
      <c r="M8" s="27">
        <f>ROUND((G8/100)*200,0)</f>
        <v/>
      </c>
      <c r="N8" s="35">
        <f>ROUND((H8/100)*200,0)</f>
        <v/>
      </c>
      <c r="O8" s="27">
        <f>ROUND((I8/100)*200,0)</f>
        <v/>
      </c>
    </row>
    <row r="9" ht="16" customHeight="1">
      <c r="B9" s="70" t="n"/>
      <c r="C9" s="71" t="n"/>
      <c r="D9" s="4" t="inlineStr">
        <is>
          <t>go</t>
        </is>
      </c>
      <c r="E9" s="66" t="n">
        <v>0</v>
      </c>
      <c r="F9" s="37" t="n">
        <v>100</v>
      </c>
      <c r="G9" s="66" t="n">
        <v>0</v>
      </c>
      <c r="H9" s="37" t="n">
        <v>0</v>
      </c>
      <c r="I9" s="66" t="n">
        <v>0</v>
      </c>
      <c r="J9" s="74" t="n"/>
      <c r="K9" s="28">
        <f>ROUND((E9/100)*200,0)</f>
        <v/>
      </c>
      <c r="L9" s="16">
        <f>ROUND((F9/100)*200,0)</f>
        <v/>
      </c>
      <c r="M9" s="28">
        <f>ROUND((G9/100)*200,0)</f>
        <v/>
      </c>
      <c r="N9" s="16">
        <f>ROUND((H9/100)*200,0)</f>
        <v/>
      </c>
      <c r="O9" s="28">
        <f>ROUND((I9/100)*200,0)</f>
        <v/>
      </c>
    </row>
    <row r="10" ht="16" customHeight="1">
      <c r="B10" s="70" t="n"/>
      <c r="C10" s="71" t="n"/>
      <c r="D10" s="4" t="inlineStr">
        <is>
          <t>java</t>
        </is>
      </c>
      <c r="E10" s="66" t="n">
        <v>12.5</v>
      </c>
      <c r="F10" s="37" t="n">
        <v>55</v>
      </c>
      <c r="G10" s="66" t="n">
        <v>22</v>
      </c>
      <c r="H10" s="37" t="n">
        <v>10.5</v>
      </c>
      <c r="I10" s="66" t="n">
        <v>0</v>
      </c>
      <c r="J10" s="74" t="n"/>
      <c r="K10" s="28">
        <f>ROUND((E10/100)*200,0)</f>
        <v/>
      </c>
      <c r="L10" s="16">
        <f>ROUND((F10/100)*200,0)</f>
        <v/>
      </c>
      <c r="M10" s="28">
        <f>ROUND((G10/100)*200,0)</f>
        <v/>
      </c>
      <c r="N10" s="16">
        <f>ROUND((H10/100)*200,0)</f>
        <v/>
      </c>
      <c r="O10" s="28">
        <f>ROUND((I10/100)*200,0)</f>
        <v/>
      </c>
    </row>
    <row r="11" ht="16" customHeight="1">
      <c r="B11" s="70" t="n"/>
      <c r="C11" s="72" t="n"/>
      <c r="D11" s="4" t="inlineStr">
        <is>
          <t>python</t>
        </is>
      </c>
      <c r="E11" s="66" t="n">
        <v>1</v>
      </c>
      <c r="F11" s="37" t="n">
        <v>84</v>
      </c>
      <c r="G11" s="66" t="n">
        <v>7</v>
      </c>
      <c r="H11" s="37" t="n">
        <v>8</v>
      </c>
      <c r="I11" s="66" t="n">
        <v>0</v>
      </c>
      <c r="J11" s="75" t="n"/>
      <c r="K11" s="29">
        <f>ROUND((E11/100)*200,0)</f>
        <v/>
      </c>
      <c r="L11" s="26">
        <f>ROUND((F11/100)*200,0)</f>
        <v/>
      </c>
      <c r="M11" s="29">
        <f>ROUND((G11/100)*200,0)</f>
        <v/>
      </c>
      <c r="N11" s="26">
        <f>ROUND((H11/100)*200,0)</f>
        <v/>
      </c>
      <c r="O11" s="29">
        <f>ROUND((I11/100)*200,0)</f>
        <v/>
      </c>
    </row>
    <row r="12" ht="16" customHeight="1">
      <c r="B12" s="70" t="n"/>
      <c r="C12" s="59" t="inlineStr">
        <is>
          <t>go</t>
        </is>
      </c>
      <c r="D12" s="19" t="inlineStr">
        <is>
          <t>c++</t>
        </is>
      </c>
      <c r="E12" s="21" t="n">
        <v>10</v>
      </c>
      <c r="F12" s="36" t="n">
        <v>77.5</v>
      </c>
      <c r="G12" s="22" t="n">
        <v>0</v>
      </c>
      <c r="H12" s="36" t="n">
        <v>12.5</v>
      </c>
      <c r="I12" s="23" t="n">
        <v>0</v>
      </c>
      <c r="J12" s="65">
        <f>ROUND(AVERAGE(E12:E15),1)</f>
        <v/>
      </c>
      <c r="K12" s="28">
        <f>ROUND((E12/100)*200,0)</f>
        <v/>
      </c>
      <c r="L12" s="16">
        <f>ROUND((F12/100)*200,0)</f>
        <v/>
      </c>
      <c r="M12" s="28">
        <f>ROUND((G12/100)*200,0)</f>
        <v/>
      </c>
      <c r="N12" s="16">
        <f>ROUND((H12/100)*200,0)</f>
        <v/>
      </c>
      <c r="O12" s="28">
        <f>ROUND((I12/100)*200,0)</f>
        <v/>
      </c>
    </row>
    <row r="13" ht="16" customHeight="1">
      <c r="B13" s="70" t="n"/>
      <c r="C13" s="71" t="n"/>
      <c r="D13" s="4" t="inlineStr">
        <is>
          <t>c</t>
        </is>
      </c>
      <c r="E13" s="66" t="n">
        <v>8.5</v>
      </c>
      <c r="F13" s="37" t="n">
        <v>85.5</v>
      </c>
      <c r="G13" s="66" t="n">
        <v>0.5</v>
      </c>
      <c r="H13" s="37" t="n">
        <v>5.5</v>
      </c>
      <c r="I13" s="6" t="n">
        <v>0</v>
      </c>
      <c r="K13" s="28">
        <f>ROUND((E13/100)*200,0)</f>
        <v/>
      </c>
      <c r="L13" s="16">
        <f>ROUND((F13/100)*200,0)</f>
        <v/>
      </c>
      <c r="M13" s="28">
        <f>ROUND((G13/100)*200,0)</f>
        <v/>
      </c>
      <c r="N13" s="16">
        <f>ROUND((H13/100)*200,0)</f>
        <v/>
      </c>
      <c r="O13" s="28">
        <f>ROUND((I13/100)*200,0)</f>
        <v/>
      </c>
    </row>
    <row r="14" ht="16" customHeight="1">
      <c r="B14" s="70" t="n"/>
      <c r="C14" s="71" t="n"/>
      <c r="D14" s="4" t="inlineStr">
        <is>
          <t>java</t>
        </is>
      </c>
      <c r="E14" s="66" t="n">
        <v>2</v>
      </c>
      <c r="F14" s="37" t="n">
        <v>67</v>
      </c>
      <c r="G14" s="66" t="n">
        <v>24.5</v>
      </c>
      <c r="H14" s="37" t="n">
        <v>6.5</v>
      </c>
      <c r="I14" s="6" t="n">
        <v>0</v>
      </c>
      <c r="K14" s="28">
        <f>ROUND((E14/100)*200,0)</f>
        <v/>
      </c>
      <c r="L14" s="16">
        <f>ROUND((F14/100)*200,0)</f>
        <v/>
      </c>
      <c r="M14" s="28">
        <f>ROUND((G14/100)*200,0)</f>
        <v/>
      </c>
      <c r="N14" s="16">
        <f>ROUND((H14/100)*200,0)</f>
        <v/>
      </c>
      <c r="O14" s="28">
        <f>ROUND((I14/100)*200,0)</f>
        <v/>
      </c>
    </row>
    <row r="15" ht="16" customHeight="1">
      <c r="B15" s="70" t="n"/>
      <c r="C15" s="72" t="n"/>
      <c r="D15" s="4" t="inlineStr">
        <is>
          <t>python</t>
        </is>
      </c>
      <c r="E15" s="7" t="n">
        <v>3</v>
      </c>
      <c r="F15" s="38" t="n">
        <v>51</v>
      </c>
      <c r="G15" s="7" t="n">
        <v>13</v>
      </c>
      <c r="H15" s="38" t="n">
        <v>32.5</v>
      </c>
      <c r="I15" s="8" t="n">
        <v>0.5</v>
      </c>
      <c r="K15" s="28">
        <f>ROUND((E15/100)*200,0)</f>
        <v/>
      </c>
      <c r="L15" s="16">
        <f>ROUND((F15/100)*200,0)</f>
        <v/>
      </c>
      <c r="M15" s="28">
        <f>ROUND((G15/100)*200,0)</f>
        <v/>
      </c>
      <c r="N15" s="16">
        <f>ROUND((H15/100)*200,0)</f>
        <v/>
      </c>
      <c r="O15" s="28">
        <f>ROUND((I15/100)*200,0)</f>
        <v/>
      </c>
    </row>
    <row r="16" ht="16" customHeight="1">
      <c r="B16" s="70" t="n"/>
      <c r="C16" s="52" t="inlineStr">
        <is>
          <t>java</t>
        </is>
      </c>
      <c r="D16" s="4" t="inlineStr">
        <is>
          <t>c++</t>
        </is>
      </c>
      <c r="E16" s="66" t="n">
        <v>35</v>
      </c>
      <c r="F16" s="37" t="n">
        <v>33</v>
      </c>
      <c r="G16" s="66" t="n">
        <v>1</v>
      </c>
      <c r="H16" s="37" t="n">
        <v>31</v>
      </c>
      <c r="I16" s="66" t="n">
        <v>0</v>
      </c>
      <c r="J16" s="73">
        <f>ROUND(AVERAGE(E16:E19),1)</f>
        <v/>
      </c>
      <c r="K16" s="27">
        <f>ROUND((E16/100)*200,0)</f>
        <v/>
      </c>
      <c r="L16" s="35">
        <f>ROUND((F16/100)*200,0)</f>
        <v/>
      </c>
      <c r="M16" s="27">
        <f>ROUND((G16/100)*200,0)</f>
        <v/>
      </c>
      <c r="N16" s="35">
        <f>ROUND((H16/100)*200,0)</f>
        <v/>
      </c>
      <c r="O16" s="27">
        <f>ROUND((I16/100)*200,0)</f>
        <v/>
      </c>
    </row>
    <row r="17" ht="16" customHeight="1">
      <c r="B17" s="70" t="n"/>
      <c r="C17" s="71" t="n"/>
      <c r="D17" s="4" t="inlineStr">
        <is>
          <t>go</t>
        </is>
      </c>
      <c r="E17" s="66" t="n">
        <v>0</v>
      </c>
      <c r="F17" s="37" t="n">
        <v>100</v>
      </c>
      <c r="G17" s="66" t="n">
        <v>0</v>
      </c>
      <c r="H17" s="37" t="n">
        <v>0</v>
      </c>
      <c r="I17" s="66" t="n">
        <v>0</v>
      </c>
      <c r="J17" s="74" t="n"/>
      <c r="K17" s="28">
        <f>ROUND((E17/100)*200,0)</f>
        <v/>
      </c>
      <c r="L17" s="16">
        <f>ROUND((F17/100)*200,0)</f>
        <v/>
      </c>
      <c r="M17" s="28">
        <f>ROUND((G17/100)*200,0)</f>
        <v/>
      </c>
      <c r="N17" s="16">
        <f>ROUND((H17/100)*200,0)</f>
        <v/>
      </c>
      <c r="O17" s="28">
        <f>ROUND((I17/100)*200,0)</f>
        <v/>
      </c>
    </row>
    <row r="18" ht="16" customHeight="1">
      <c r="B18" s="70" t="n"/>
      <c r="C18" s="71" t="n"/>
      <c r="D18" s="4" t="inlineStr">
        <is>
          <t>c</t>
        </is>
      </c>
      <c r="E18" s="66" t="n">
        <v>0</v>
      </c>
      <c r="F18" s="37" t="n">
        <v>100</v>
      </c>
      <c r="G18" s="66" t="n">
        <v>0</v>
      </c>
      <c r="H18" s="37" t="n">
        <v>0</v>
      </c>
      <c r="I18" s="66" t="n">
        <v>0</v>
      </c>
      <c r="J18" s="74" t="n"/>
      <c r="K18" s="28">
        <f>ROUND((E18/100)*200,0)</f>
        <v/>
      </c>
      <c r="L18" s="16">
        <f>ROUND((F18/100)*200,0)</f>
        <v/>
      </c>
      <c r="M18" s="28">
        <f>ROUND((G18/100)*200,0)</f>
        <v/>
      </c>
      <c r="N18" s="16">
        <f>ROUND((H18/100)*200,0)</f>
        <v/>
      </c>
      <c r="O18" s="28">
        <f>ROUND((I18/100)*200,0)</f>
        <v/>
      </c>
    </row>
    <row r="19" ht="16" customHeight="1">
      <c r="B19" s="70" t="n"/>
      <c r="C19" s="72" t="n"/>
      <c r="D19" s="4" t="inlineStr">
        <is>
          <t>python</t>
        </is>
      </c>
      <c r="E19" s="66" t="n">
        <v>6</v>
      </c>
      <c r="F19" s="37" t="n">
        <v>23.5</v>
      </c>
      <c r="G19" s="66" t="n">
        <v>32</v>
      </c>
      <c r="H19" s="37" t="n">
        <v>38.5</v>
      </c>
      <c r="I19" s="66" t="n">
        <v>0</v>
      </c>
      <c r="J19" s="75" t="n"/>
      <c r="K19" s="29">
        <f>ROUND((E19/100)*200,0)</f>
        <v/>
      </c>
      <c r="L19" s="26">
        <f>ROUND((F19/100)*200,0)</f>
        <v/>
      </c>
      <c r="M19" s="29">
        <f>ROUND((G19/100)*200,0)</f>
        <v/>
      </c>
      <c r="N19" s="26">
        <f>ROUND((H19/100)*200,0)</f>
        <v/>
      </c>
      <c r="O19" s="29">
        <f>ROUND((I19/100)*200,0)</f>
        <v/>
      </c>
    </row>
    <row r="20" ht="16" customHeight="1">
      <c r="B20" s="70" t="n"/>
      <c r="C20" s="53" t="inlineStr">
        <is>
          <t>python</t>
        </is>
      </c>
      <c r="D20" s="4" t="inlineStr">
        <is>
          <t>c++</t>
        </is>
      </c>
      <c r="E20" s="9" t="n">
        <v>16</v>
      </c>
      <c r="F20" s="39" t="n">
        <v>48.5</v>
      </c>
      <c r="G20" s="9" t="n">
        <v>0</v>
      </c>
      <c r="H20" s="39" t="n">
        <v>35.5</v>
      </c>
      <c r="I20" s="10" t="n">
        <v>0</v>
      </c>
      <c r="J20" s="63">
        <f>ROUND(AVERAGE(E20:E23),1)</f>
        <v/>
      </c>
      <c r="K20" s="28">
        <f>ROUND((E20/100)*200,0)</f>
        <v/>
      </c>
      <c r="L20" s="16">
        <f>ROUND((F20/100)*200,0)</f>
        <v/>
      </c>
      <c r="M20" s="28">
        <f>ROUND((G20/100)*200,0)</f>
        <v/>
      </c>
      <c r="N20" s="16">
        <f>ROUND((H20/100)*200,0)</f>
        <v/>
      </c>
      <c r="O20" s="28">
        <f>ROUND((I20/100)*200,0)</f>
        <v/>
      </c>
    </row>
    <row r="21" ht="16" customHeight="1">
      <c r="B21" s="70" t="n"/>
      <c r="C21" s="71" t="n"/>
      <c r="D21" s="4" t="inlineStr">
        <is>
          <t>go</t>
        </is>
      </c>
      <c r="E21" s="66" t="n">
        <v>0</v>
      </c>
      <c r="F21" s="37" t="n">
        <v>100</v>
      </c>
      <c r="G21" s="66" t="n">
        <v>0</v>
      </c>
      <c r="H21" s="37" t="n">
        <v>0</v>
      </c>
      <c r="I21" s="6" t="n">
        <v>0</v>
      </c>
      <c r="J21" s="70" t="n"/>
      <c r="K21" s="28">
        <f>ROUND((E21/100)*200,0)</f>
        <v/>
      </c>
      <c r="L21" s="16">
        <f>ROUND((F21/100)*200,0)</f>
        <v/>
      </c>
      <c r="M21" s="28">
        <f>ROUND((G21/100)*200,0)</f>
        <v/>
      </c>
      <c r="N21" s="16">
        <f>ROUND((H21/100)*200,0)</f>
        <v/>
      </c>
      <c r="O21" s="28">
        <f>ROUND((I21/100)*200,0)</f>
        <v/>
      </c>
    </row>
    <row r="22" ht="16" customHeight="1">
      <c r="B22" s="70" t="n"/>
      <c r="C22" s="71" t="n"/>
      <c r="D22" s="4" t="inlineStr">
        <is>
          <t>java</t>
        </is>
      </c>
      <c r="E22" s="66" t="n">
        <v>13</v>
      </c>
      <c r="F22" s="37" t="n">
        <v>51</v>
      </c>
      <c r="G22" s="66" t="n">
        <v>28.5</v>
      </c>
      <c r="H22" s="37" t="n">
        <v>7.5</v>
      </c>
      <c r="I22" s="6" t="n">
        <v>0</v>
      </c>
      <c r="J22" s="70" t="n"/>
      <c r="K22" s="28">
        <f>ROUND((E22/100)*200,0)</f>
        <v/>
      </c>
      <c r="L22" s="16">
        <f>ROUND((F22/100)*200,0)</f>
        <v/>
      </c>
      <c r="M22" s="28">
        <f>ROUND((G22/100)*200,0)</f>
        <v/>
      </c>
      <c r="N22" s="16">
        <f>ROUND((H22/100)*200,0)</f>
        <v/>
      </c>
      <c r="O22" s="28">
        <f>ROUND((I22/100)*200,0)</f>
        <v/>
      </c>
    </row>
    <row r="23" ht="16" customHeight="1">
      <c r="B23" s="76" t="n"/>
      <c r="C23" s="72" t="n"/>
      <c r="D23" s="4" t="inlineStr">
        <is>
          <t>c</t>
        </is>
      </c>
      <c r="E23" s="66" t="n">
        <v>0</v>
      </c>
      <c r="F23" s="37" t="n">
        <v>100</v>
      </c>
      <c r="G23" s="66" t="n">
        <v>0</v>
      </c>
      <c r="H23" s="37" t="n">
        <v>0</v>
      </c>
      <c r="I23" s="6" t="n">
        <v>0</v>
      </c>
      <c r="J23" s="70" t="n"/>
      <c r="K23" s="28">
        <f>ROUND((E23/100)*200,0)</f>
        <v/>
      </c>
      <c r="L23" s="16">
        <f>ROUND((F23/100)*200,0)</f>
        <v/>
      </c>
      <c r="M23" s="28">
        <f>ROUND((G23/100)*200,0)</f>
        <v/>
      </c>
      <c r="N23" s="16">
        <f>ROUND((H23/100)*200,0)</f>
        <v/>
      </c>
      <c r="O23" s="28">
        <f>ROUND((I23/100)*200,0)</f>
        <v/>
      </c>
    </row>
    <row r="24" ht="16" customHeight="1">
      <c r="B24" s="50" t="inlineStr">
        <is>
          <t>avatar</t>
        </is>
      </c>
      <c r="C24" s="52" t="inlineStr">
        <is>
          <t>java</t>
        </is>
      </c>
      <c r="D24" s="4" t="inlineStr">
        <is>
          <t>c++</t>
        </is>
      </c>
      <c r="E24" s="9" t="n">
        <v>3.19</v>
      </c>
      <c r="F24" s="39" t="n">
        <v>70.12</v>
      </c>
      <c r="G24" s="9" t="n">
        <v>0</v>
      </c>
      <c r="H24" s="39" t="n">
        <v>25.1</v>
      </c>
      <c r="I24" s="9" t="n">
        <v>1.59</v>
      </c>
      <c r="J24" s="73">
        <f>ROUND(AVERAGE(E24:E27),1)</f>
        <v/>
      </c>
      <c r="K24" s="43">
        <f>ROUND((E24/100)*249,0)</f>
        <v/>
      </c>
      <c r="L24" s="27">
        <f>ROUND((F24/100)*249,0)</f>
        <v/>
      </c>
      <c r="M24" s="35">
        <f>ROUND((G24/100)*249,0)</f>
        <v/>
      </c>
      <c r="N24" s="27">
        <f>ROUND((H24/100)*249,0)</f>
        <v/>
      </c>
      <c r="O24" s="46">
        <f>ROUND((I24/100)*249,0)</f>
        <v/>
      </c>
    </row>
    <row r="25" ht="16" customHeight="1">
      <c r="B25" s="70" t="n"/>
      <c r="C25" s="71" t="n"/>
      <c r="D25" s="4" t="inlineStr">
        <is>
          <t>go</t>
        </is>
      </c>
      <c r="E25" s="66" t="n">
        <v>0</v>
      </c>
      <c r="F25" s="37" t="n">
        <v>100</v>
      </c>
      <c r="G25" s="66" t="n">
        <v>0</v>
      </c>
      <c r="H25" s="37" t="n">
        <v>0</v>
      </c>
      <c r="I25" s="66" t="n">
        <v>0</v>
      </c>
      <c r="J25" s="74" t="n"/>
      <c r="K25" s="41">
        <f>ROUND((E25/100)*249,0)</f>
        <v/>
      </c>
      <c r="L25" s="28">
        <f>ROUND((F25/100)*249,0)</f>
        <v/>
      </c>
      <c r="M25" s="16">
        <f>ROUND((G25/100)*249,0)</f>
        <v/>
      </c>
      <c r="N25" s="28">
        <f>ROUND((H25/100)*249,0)</f>
        <v/>
      </c>
      <c r="O25" s="42">
        <f>ROUND((I25/100)*249,0)</f>
        <v/>
      </c>
    </row>
    <row r="26" ht="16" customHeight="1">
      <c r="B26" s="70" t="n"/>
      <c r="C26" s="71" t="n"/>
      <c r="D26" s="4" t="inlineStr">
        <is>
          <t>c</t>
        </is>
      </c>
      <c r="E26" s="66" t="n">
        <v>0</v>
      </c>
      <c r="F26" s="37" t="n">
        <v>100</v>
      </c>
      <c r="G26" s="66" t="n">
        <v>0</v>
      </c>
      <c r="H26" s="37" t="n">
        <v>0</v>
      </c>
      <c r="I26" s="66" t="n">
        <v>0</v>
      </c>
      <c r="J26" s="74" t="n"/>
      <c r="K26" s="41">
        <f>ROUND((E26/100)*249,0)</f>
        <v/>
      </c>
      <c r="L26" s="28">
        <f>ROUND((F26/100)*249,0)</f>
        <v/>
      </c>
      <c r="M26" s="16">
        <f>ROUND((G26/100)*249,0)</f>
        <v/>
      </c>
      <c r="N26" s="28">
        <f>ROUND((H26/100)*249,0)</f>
        <v/>
      </c>
      <c r="O26" s="42">
        <f>ROUND((I26/100)*249,0)</f>
        <v/>
      </c>
    </row>
    <row r="27" ht="16" customHeight="1">
      <c r="B27" s="70" t="n"/>
      <c r="C27" s="72" t="n"/>
      <c r="D27" s="4" t="inlineStr">
        <is>
          <t>python</t>
        </is>
      </c>
      <c r="E27" s="66" t="n">
        <v>4</v>
      </c>
      <c r="F27" s="37" t="n">
        <v>24.4</v>
      </c>
      <c r="G27" s="66" t="n">
        <v>46.4</v>
      </c>
      <c r="H27" s="37" t="n">
        <v>24.8</v>
      </c>
      <c r="I27" s="66" t="n">
        <v>0.4</v>
      </c>
      <c r="J27" s="75" t="n"/>
      <c r="K27" s="44">
        <f>ROUND((E27/100)*249,0)</f>
        <v/>
      </c>
      <c r="L27" s="29">
        <f>ROUND((F27/100)*249,0)</f>
        <v/>
      </c>
      <c r="M27" s="26">
        <f>ROUND((G27/100)*249,0)</f>
        <v/>
      </c>
      <c r="N27" s="29">
        <f>ROUND((H27/100)*249,0)</f>
        <v/>
      </c>
      <c r="O27" s="45">
        <f>ROUND((I27/100)*249,0)</f>
        <v/>
      </c>
    </row>
    <row r="28" ht="16" customHeight="1">
      <c r="B28" s="70" t="n"/>
      <c r="C28" s="53" t="inlineStr">
        <is>
          <t>python</t>
        </is>
      </c>
      <c r="D28" s="4" t="inlineStr">
        <is>
          <t>c++</t>
        </is>
      </c>
      <c r="E28" s="9" t="n">
        <v>4.1</v>
      </c>
      <c r="F28" s="39" t="n">
        <v>44.78</v>
      </c>
      <c r="G28" s="9" t="n">
        <v>0</v>
      </c>
      <c r="H28" s="39" t="n">
        <v>46.23</v>
      </c>
      <c r="I28" s="10" t="n">
        <v>4.85</v>
      </c>
      <c r="J28" s="63">
        <f>ROUND(AVERAGE(E28:E31),1)</f>
        <v/>
      </c>
      <c r="K28" s="41">
        <f>ROUND((E28/100)*250,0)</f>
        <v/>
      </c>
      <c r="L28" s="41">
        <f>ROUND((F28/100)*250,0)</f>
        <v/>
      </c>
      <c r="M28" s="41">
        <f>ROUND((G28/100)*250,0)</f>
        <v/>
      </c>
      <c r="N28" s="28">
        <f>ROUND((H28/100)*250,0)</f>
        <v/>
      </c>
      <c r="O28" s="28">
        <f>ROUND((I28/100)*250,0)</f>
        <v/>
      </c>
    </row>
    <row r="29" ht="16" customHeight="1">
      <c r="B29" s="70" t="n"/>
      <c r="C29" s="71" t="n"/>
      <c r="D29" s="4" t="inlineStr">
        <is>
          <t>go</t>
        </is>
      </c>
      <c r="E29" s="66" t="n">
        <v>0</v>
      </c>
      <c r="F29" s="37" t="n">
        <v>100</v>
      </c>
      <c r="G29" s="66" t="n">
        <v>0</v>
      </c>
      <c r="H29" s="37" t="n">
        <v>0</v>
      </c>
      <c r="I29" s="6" t="n">
        <v>0</v>
      </c>
      <c r="J29" s="70" t="n"/>
      <c r="K29" s="41">
        <f>ROUND((E29/100)*250,0)</f>
        <v/>
      </c>
      <c r="L29" s="41">
        <f>ROUND((F29/100)*250,0)</f>
        <v/>
      </c>
      <c r="M29" s="41">
        <f>ROUND((G29/100)*250,0)</f>
        <v/>
      </c>
      <c r="N29" s="28">
        <f>ROUND((H29/100)*250,0)</f>
        <v/>
      </c>
      <c r="O29" s="28">
        <f>ROUND((I29/100)*250,0)</f>
        <v/>
      </c>
    </row>
    <row r="30" ht="16" customHeight="1">
      <c r="B30" s="70" t="n"/>
      <c r="C30" s="71" t="n"/>
      <c r="D30" s="4" t="inlineStr">
        <is>
          <t>java</t>
        </is>
      </c>
      <c r="E30" s="66" t="n">
        <v>2.37</v>
      </c>
      <c r="F30" s="37" t="n">
        <v>37.55</v>
      </c>
      <c r="G30" s="66" t="n">
        <v>45.09</v>
      </c>
      <c r="H30" s="37" t="n">
        <v>14.62</v>
      </c>
      <c r="I30" s="6" t="n">
        <v>0.39</v>
      </c>
      <c r="J30" s="70" t="n"/>
      <c r="K30" s="41">
        <f>ROUND((E30/100)*250,0)</f>
        <v/>
      </c>
      <c r="L30" s="41">
        <f>ROUND((F30/100)*250,0)</f>
        <v/>
      </c>
      <c r="M30" s="41">
        <f>ROUND((G30/100)*250,0)</f>
        <v/>
      </c>
      <c r="N30" s="28">
        <f>ROUND((H30/100)*250,0)</f>
        <v/>
      </c>
      <c r="O30" s="28">
        <f>ROUND((I30/100)*250,0)</f>
        <v/>
      </c>
    </row>
    <row r="31" ht="16" customHeight="1">
      <c r="B31" s="76" t="n"/>
      <c r="C31" s="72" t="n"/>
      <c r="D31" s="12" t="inlineStr">
        <is>
          <t>c</t>
        </is>
      </c>
      <c r="E31" s="66" t="n">
        <v>0</v>
      </c>
      <c r="F31" s="37" t="n">
        <v>99.59999999999999</v>
      </c>
      <c r="G31" s="66" t="n">
        <v>0</v>
      </c>
      <c r="H31" s="37" t="n">
        <v>0.4</v>
      </c>
      <c r="I31" s="6" t="n">
        <v>0</v>
      </c>
      <c r="J31" s="70" t="n"/>
      <c r="K31" s="28">
        <f>ROUND((E31/100)*250,0)</f>
        <v/>
      </c>
      <c r="L31" s="16">
        <f>ROUND((F31/100)*250,0)</f>
        <v/>
      </c>
      <c r="M31" s="28">
        <f>ROUND((G31/100)*250,0)</f>
        <v/>
      </c>
      <c r="N31" s="16">
        <f>ROUND((H31/100)*250,0)</f>
        <v/>
      </c>
      <c r="O31" s="28">
        <f>ROUND((I31/100)*250,0)</f>
        <v/>
      </c>
    </row>
    <row r="32" ht="16" customHeight="1">
      <c r="B32" s="24" t="inlineStr">
        <is>
          <t>evalplus</t>
        </is>
      </c>
      <c r="C32" s="53" t="inlineStr">
        <is>
          <t>python</t>
        </is>
      </c>
      <c r="D32" s="4" t="inlineStr">
        <is>
          <t>java</t>
        </is>
      </c>
      <c r="E32" s="19" t="n">
        <v>3.66</v>
      </c>
      <c r="F32" s="40" t="n">
        <v>85.97</v>
      </c>
      <c r="G32" s="20" t="n">
        <v>4.26</v>
      </c>
      <c r="H32" s="40" t="n">
        <v>6.09</v>
      </c>
      <c r="I32" s="32" t="n">
        <v>0</v>
      </c>
      <c r="J32" s="33">
        <f>ROUND(E32,1)</f>
        <v/>
      </c>
      <c r="K32" s="34">
        <f>ROUND((E32/100)*164,0)</f>
        <v/>
      </c>
      <c r="L32" s="31">
        <f>ROUND((F32/100)*164,0)</f>
        <v/>
      </c>
      <c r="M32" s="34">
        <f>ROUND((G32/100)*164,0)</f>
        <v/>
      </c>
      <c r="N32" s="31">
        <f>ROUND((H32/100)*164,0)</f>
        <v/>
      </c>
      <c r="O32" s="34">
        <f>ROUND((I32/100)*164,0)</f>
        <v/>
      </c>
    </row>
    <row r="33" ht="16" customHeight="1">
      <c r="B33" s="18" t="inlineStr">
        <is>
          <t>Commons-CLI</t>
        </is>
      </c>
      <c r="C33" s="25" t="inlineStr">
        <is>
          <t>Java</t>
        </is>
      </c>
      <c r="D33" s="14" t="inlineStr">
        <is>
          <t>python</t>
        </is>
      </c>
      <c r="E33" s="15" t="n">
        <v>0</v>
      </c>
      <c r="F33" s="37" t="n">
        <v>100</v>
      </c>
      <c r="G33" s="66" t="n">
        <v>0</v>
      </c>
      <c r="H33" s="37" t="n">
        <v>0</v>
      </c>
      <c r="I33" s="6" t="n">
        <v>0</v>
      </c>
      <c r="J33" s="16">
        <f>ROUND(E33,1)</f>
        <v/>
      </c>
      <c r="K33" s="28">
        <f>ROUND((E33/100)*22,0)</f>
        <v/>
      </c>
      <c r="L33" s="16">
        <f>ROUND((F33/100)*22,0)</f>
        <v/>
      </c>
      <c r="M33" s="28">
        <f>ROUND((G33/100)*22,0)</f>
        <v/>
      </c>
      <c r="N33" s="16">
        <f>ROUND((H33/100)*22,0)</f>
        <v/>
      </c>
      <c r="O33" s="28">
        <f>ROUND((I33/100)*22,0)</f>
        <v/>
      </c>
    </row>
    <row r="34" ht="16" customHeight="1">
      <c r="B34" s="30" t="inlineStr">
        <is>
          <t>Click</t>
        </is>
      </c>
      <c r="C34" s="47" t="inlineStr">
        <is>
          <t>python</t>
        </is>
      </c>
      <c r="D34" s="40" t="inlineStr">
        <is>
          <t>java</t>
        </is>
      </c>
      <c r="E34" s="66" t="n">
        <v>0</v>
      </c>
      <c r="F34" s="37" t="n">
        <v>100</v>
      </c>
      <c r="G34" s="66" t="n">
        <v>0</v>
      </c>
      <c r="H34" s="37" t="n">
        <v>0</v>
      </c>
      <c r="I34" s="6" t="n">
        <v>0</v>
      </c>
      <c r="J34" s="16">
        <f>ROUND(E34,1)</f>
        <v/>
      </c>
      <c r="K34" s="28">
        <f>ROUND((E34/100)*15,0)</f>
        <v/>
      </c>
      <c r="L34" s="16">
        <f>ROUND((F34/100)*15,0)</f>
        <v/>
      </c>
      <c r="M34" s="28">
        <f>ROUND((G34/100)*15,0)</f>
        <v/>
      </c>
      <c r="N34" s="16">
        <f>ROUND((H34/100)*15,0)</f>
        <v/>
      </c>
      <c r="O34" s="28">
        <f>ROUND((I34/100)*15,0)</f>
        <v/>
      </c>
    </row>
    <row r="35">
      <c r="B35" s="55" t="inlineStr">
        <is>
          <t>Total/Average</t>
        </is>
      </c>
      <c r="C35" s="77" t="n"/>
      <c r="D35" s="77" t="n"/>
      <c r="E35" s="34">
        <f>AVERAGE(AVERAGE(E4:E23),AVERAGE(E24:E31),E32,E33,E34)</f>
        <v/>
      </c>
      <c r="F35" s="34">
        <f>AVERAGE(AVERAGE(F4:F23),AVERAGE(F24:F31),F32,F33,F34)</f>
        <v/>
      </c>
      <c r="G35" s="31">
        <f>AVERAGE(AVERAGE(G4:G23),AVERAGE(G24:G31),G32,G33,G34)</f>
        <v/>
      </c>
      <c r="H35" s="34">
        <f>AVERAGE(AVERAGE(H4:H23),AVERAGE(H24:H31),H32,H33,H34)</f>
        <v/>
      </c>
      <c r="I35" s="31">
        <f>AVERAGE(AVERAGE(I4:I23),AVERAGE(I24:I31),I32,I33,I34)</f>
        <v/>
      </c>
      <c r="J35" s="34">
        <f>ROUND(AVERAGE(AVERAGE(J4:J23),AVERAGE(J24:J31),J32,J33,J34),1)</f>
        <v/>
      </c>
      <c r="K35" s="34">
        <f>ROUND(AVERAGE(K4:K34),0)</f>
        <v/>
      </c>
      <c r="L35" s="34">
        <f>ROUND(AVERAGE(L4:L34),0)</f>
        <v/>
      </c>
      <c r="M35" s="34">
        <f>ROUND(AVERAGE(M4:M34),0)</f>
        <v/>
      </c>
      <c r="N35" s="34">
        <f>ROUND(AVERAGE(N4:N34),0)</f>
        <v/>
      </c>
      <c r="O35" s="34">
        <f>ROUND(AVERAGE(O4:O34),0)</f>
        <v/>
      </c>
    </row>
  </sheetData>
  <mergeCells count="17">
    <mergeCell ref="C4:C7"/>
    <mergeCell ref="C28:C31"/>
    <mergeCell ref="J4:J7"/>
    <mergeCell ref="J12:J15"/>
    <mergeCell ref="J28:J31"/>
    <mergeCell ref="B4:B23"/>
    <mergeCell ref="C8:C11"/>
    <mergeCell ref="B35:D35"/>
    <mergeCell ref="C16:C19"/>
    <mergeCell ref="J8:J11"/>
    <mergeCell ref="C12:C15"/>
    <mergeCell ref="C20:C23"/>
    <mergeCell ref="J16:J19"/>
    <mergeCell ref="J20:J23"/>
    <mergeCell ref="B24:B31"/>
    <mergeCell ref="J24:J27"/>
    <mergeCell ref="C24:C27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:O42"/>
  <sheetViews>
    <sheetView workbookViewId="0">
      <selection activeCell="E39" sqref="E39"/>
    </sheetView>
  </sheetViews>
  <sheetFormatPr baseColWidth="10" defaultColWidth="8.83203125" defaultRowHeight="15"/>
  <cols>
    <col width="11.5" customWidth="1" min="2" max="2"/>
    <col width="15" customWidth="1" min="3" max="3"/>
    <col width="12.5" customWidth="1" min="4" max="4"/>
    <col width="18.6640625" customWidth="1" min="5" max="5"/>
    <col width="26.33203125" customWidth="1" min="6" max="6"/>
    <col width="24.1640625" customWidth="1" min="7" max="7"/>
    <col width="22.83203125" customWidth="1" min="8" max="8"/>
    <col width="21.5" customWidth="1" min="9" max="9"/>
    <col width="15.83203125" customWidth="1" min="10" max="10"/>
    <col width="12.83203125" customWidth="1" min="11" max="11"/>
    <col width="15.6640625" customWidth="1" min="12" max="12"/>
    <col width="13.5" customWidth="1" min="13" max="13"/>
    <col width="13" customWidth="1" min="14" max="14"/>
    <col width="19.1640625" customWidth="1" min="15" max="15"/>
  </cols>
  <sheetData>
    <row r="3" ht="16" customHeight="1">
      <c r="B3" s="1" t="inlineStr">
        <is>
          <t>dataset</t>
        </is>
      </c>
      <c r="C3" s="2" t="inlineStr">
        <is>
          <t>source</t>
        </is>
      </c>
      <c r="D3" s="2" t="inlineStr">
        <is>
          <t>target</t>
        </is>
      </c>
      <c r="E3" s="3" t="inlineStr">
        <is>
          <t>script accuracy %</t>
        </is>
      </c>
      <c r="F3" s="2" t="inlineStr">
        <is>
          <t>script compilation error %</t>
        </is>
      </c>
      <c r="G3" s="3" t="inlineStr">
        <is>
          <t>script runtime error %</t>
        </is>
      </c>
      <c r="H3" s="2" t="inlineStr">
        <is>
          <t>script wrong output %</t>
        </is>
      </c>
      <c r="I3" s="3" t="inlineStr">
        <is>
          <t>script infinite loop %</t>
        </is>
      </c>
      <c r="J3" s="17" t="inlineStr">
        <is>
          <t>avg source acc %</t>
        </is>
      </c>
      <c r="K3" s="18" t="inlineStr">
        <is>
          <t>num correct</t>
        </is>
      </c>
      <c r="L3" s="18" t="inlineStr">
        <is>
          <t>num compilation</t>
        </is>
      </c>
      <c r="M3" s="18" t="inlineStr">
        <is>
          <t>num runtime</t>
        </is>
      </c>
      <c r="N3" s="18" t="inlineStr">
        <is>
          <t>num incorrect</t>
        </is>
      </c>
      <c r="O3" s="18" t="inlineStr">
        <is>
          <t>num non-terminating</t>
        </is>
      </c>
    </row>
    <row r="4" ht="16" customHeight="1">
      <c r="B4" s="50" t="inlineStr">
        <is>
          <t>codenet</t>
        </is>
      </c>
      <c r="C4" s="57" t="inlineStr">
        <is>
          <t>c</t>
        </is>
      </c>
      <c r="D4" s="4" t="inlineStr">
        <is>
          <t>c++</t>
        </is>
      </c>
      <c r="E4" s="66" t="n">
        <v>65.5</v>
      </c>
      <c r="F4" s="36" t="n">
        <v>26</v>
      </c>
      <c r="G4" s="66" t="n">
        <v>0</v>
      </c>
      <c r="H4" s="36" t="n">
        <v>7.5</v>
      </c>
      <c r="I4" s="6" t="n">
        <v>1</v>
      </c>
      <c r="J4" s="63">
        <f>ROUND(AVERAGE(E4:E7),1)</f>
        <v/>
      </c>
      <c r="K4" s="27">
        <f>ROUND((E4/100)*200,0)</f>
        <v/>
      </c>
      <c r="L4" s="16">
        <f>ROUND((F4/100)*200,0)</f>
        <v/>
      </c>
      <c r="M4" s="27">
        <f>ROUND((G4/100)*200,0)</f>
        <v/>
      </c>
      <c r="N4" s="16">
        <f>ROUND((H4/100)*200,0)</f>
        <v/>
      </c>
      <c r="O4" s="27">
        <f>ROUND((I4/100)*200,0)</f>
        <v/>
      </c>
    </row>
    <row r="5" ht="16" customHeight="1">
      <c r="B5" s="70" t="n"/>
      <c r="C5" s="71" t="n"/>
      <c r="D5" s="4" t="inlineStr">
        <is>
          <t>go</t>
        </is>
      </c>
      <c r="E5" s="66" t="n">
        <v>12.5</v>
      </c>
      <c r="F5" s="37" t="n">
        <v>77</v>
      </c>
      <c r="G5" s="66" t="n">
        <v>7.5</v>
      </c>
      <c r="H5" s="37" t="n">
        <v>3</v>
      </c>
      <c r="I5" s="6" t="n">
        <v>0</v>
      </c>
      <c r="J5" s="70" t="n"/>
      <c r="K5" s="28">
        <f>ROUND((E5/100)*200,0)</f>
        <v/>
      </c>
      <c r="L5" s="16">
        <f>ROUND((F5/100)*200,0)</f>
        <v/>
      </c>
      <c r="M5" s="28">
        <f>ROUND((G5/100)*200,0)</f>
        <v/>
      </c>
      <c r="N5" s="16">
        <f>ROUND((H5/100)*200,0)</f>
        <v/>
      </c>
      <c r="O5" s="28">
        <f>ROUND((I5/100)*200,0)</f>
        <v/>
      </c>
    </row>
    <row r="6" ht="16" customHeight="1">
      <c r="B6" s="70" t="n"/>
      <c r="C6" s="71" t="n"/>
      <c r="D6" s="4" t="inlineStr">
        <is>
          <t>java</t>
        </is>
      </c>
      <c r="E6" s="66" t="n">
        <v>48</v>
      </c>
      <c r="F6" s="37" t="n">
        <v>40</v>
      </c>
      <c r="G6" s="66" t="n">
        <v>3</v>
      </c>
      <c r="H6" s="37" t="n">
        <v>9</v>
      </c>
      <c r="I6" s="6" t="n">
        <v>0</v>
      </c>
      <c r="J6" s="70" t="n"/>
      <c r="K6" s="28">
        <f>ROUND((E6/100)*200,0)</f>
        <v/>
      </c>
      <c r="L6" s="16">
        <f>ROUND((F6/100)*200,0)</f>
        <v/>
      </c>
      <c r="M6" s="28">
        <f>ROUND((G6/100)*200,0)</f>
        <v/>
      </c>
      <c r="N6" s="16">
        <f>ROUND((H6/100)*200,0)</f>
        <v/>
      </c>
      <c r="O6" s="28">
        <f>ROUND((I6/100)*200,0)</f>
        <v/>
      </c>
    </row>
    <row r="7" ht="16" customHeight="1">
      <c r="B7" s="70" t="n"/>
      <c r="C7" s="72" t="n"/>
      <c r="D7" s="4" t="inlineStr">
        <is>
          <t>python</t>
        </is>
      </c>
      <c r="E7" s="7" t="n">
        <v>42</v>
      </c>
      <c r="F7" s="38" t="n">
        <v>23</v>
      </c>
      <c r="G7" s="7" t="n">
        <v>21</v>
      </c>
      <c r="H7" s="38" t="n">
        <v>14</v>
      </c>
      <c r="I7" s="8" t="n">
        <v>0</v>
      </c>
      <c r="J7" s="70" t="n"/>
      <c r="K7" s="28">
        <f>ROUND((E7/100)*200,0)</f>
        <v/>
      </c>
      <c r="L7" s="16">
        <f>ROUND((F7/100)*200,0)</f>
        <v/>
      </c>
      <c r="M7" s="28">
        <f>ROUND((G7/100)*200,0)</f>
        <v/>
      </c>
      <c r="N7" s="16">
        <f>ROUND((H7/100)*200,0)</f>
        <v/>
      </c>
      <c r="O7" s="28">
        <f>ROUND((I7/100)*200,0)</f>
        <v/>
      </c>
    </row>
    <row r="8" ht="16" customHeight="1">
      <c r="B8" s="70" t="n"/>
      <c r="C8" s="58" t="inlineStr">
        <is>
          <t>c++</t>
        </is>
      </c>
      <c r="D8" s="4" t="inlineStr">
        <is>
          <t>c</t>
        </is>
      </c>
      <c r="E8" s="66" t="n">
        <v>43.5</v>
      </c>
      <c r="F8" s="37" t="n">
        <v>46.5</v>
      </c>
      <c r="G8" s="66" t="n">
        <v>0</v>
      </c>
      <c r="H8" s="37" t="n">
        <v>10</v>
      </c>
      <c r="I8" s="6" t="n">
        <v>0</v>
      </c>
      <c r="J8" s="73">
        <f>ROUND(AVERAGE(E8:E11),1)</f>
        <v/>
      </c>
      <c r="K8" s="27">
        <f>ROUND((E8/100)*200,0)</f>
        <v/>
      </c>
      <c r="L8" s="35">
        <f>ROUND((F8/100)*200,0)</f>
        <v/>
      </c>
      <c r="M8" s="27">
        <f>ROUND((G8/100)*200,0)</f>
        <v/>
      </c>
      <c r="N8" s="35">
        <f>ROUND((H8/100)*200,0)</f>
        <v/>
      </c>
      <c r="O8" s="27">
        <f>ROUND((I8/100)*200,0)</f>
        <v/>
      </c>
    </row>
    <row r="9" ht="16" customHeight="1">
      <c r="B9" s="70" t="n"/>
      <c r="C9" s="71" t="n"/>
      <c r="D9" s="4" t="inlineStr">
        <is>
          <t>go</t>
        </is>
      </c>
      <c r="E9" s="66" t="n">
        <v>20.5</v>
      </c>
      <c r="F9" s="37" t="n">
        <v>70.5</v>
      </c>
      <c r="G9" s="66" t="n">
        <v>2.5</v>
      </c>
      <c r="H9" s="37" t="n">
        <v>6</v>
      </c>
      <c r="I9" s="6" t="n">
        <v>0.5</v>
      </c>
      <c r="J9" s="74" t="n"/>
      <c r="K9" s="28">
        <f>ROUND((E9/100)*200,0)</f>
        <v/>
      </c>
      <c r="L9" s="16">
        <f>ROUND((F9/100)*200,0)</f>
        <v/>
      </c>
      <c r="M9" s="28">
        <f>ROUND((G9/100)*200,0)</f>
        <v/>
      </c>
      <c r="N9" s="16">
        <f>ROUND((H9/100)*200,0)</f>
        <v/>
      </c>
      <c r="O9" s="28">
        <f>ROUND((I9/100)*200,0)</f>
        <v/>
      </c>
    </row>
    <row r="10" ht="16" customHeight="1">
      <c r="B10" s="70" t="n"/>
      <c r="C10" s="71" t="n"/>
      <c r="D10" s="4" t="inlineStr">
        <is>
          <t>java</t>
        </is>
      </c>
      <c r="E10" s="66" t="n">
        <v>59.5</v>
      </c>
      <c r="F10" s="37" t="n">
        <v>27.5</v>
      </c>
      <c r="G10" s="66" t="n">
        <v>5</v>
      </c>
      <c r="H10" s="37" t="n">
        <v>8</v>
      </c>
      <c r="I10" s="6" t="n">
        <v>0</v>
      </c>
      <c r="J10" s="74" t="n"/>
      <c r="K10" s="28">
        <f>ROUND((E10/100)*200,0)</f>
        <v/>
      </c>
      <c r="L10" s="16">
        <f>ROUND((F10/100)*200,0)</f>
        <v/>
      </c>
      <c r="M10" s="28">
        <f>ROUND((G10/100)*200,0)</f>
        <v/>
      </c>
      <c r="N10" s="16">
        <f>ROUND((H10/100)*200,0)</f>
        <v/>
      </c>
      <c r="O10" s="28">
        <f>ROUND((I10/100)*200,0)</f>
        <v/>
      </c>
    </row>
    <row r="11" ht="16" customHeight="1">
      <c r="B11" s="70" t="n"/>
      <c r="C11" s="72" t="n"/>
      <c r="D11" s="4" t="inlineStr">
        <is>
          <t>python</t>
        </is>
      </c>
      <c r="E11" s="66" t="n">
        <v>33</v>
      </c>
      <c r="F11" s="37" t="n">
        <v>35</v>
      </c>
      <c r="G11" s="66" t="n">
        <v>24</v>
      </c>
      <c r="H11" s="37" t="n">
        <v>7.5</v>
      </c>
      <c r="I11" s="6" t="n">
        <v>0.5</v>
      </c>
      <c r="J11" s="75" t="n"/>
      <c r="K11" s="29">
        <f>ROUND((E11/100)*200,0)</f>
        <v/>
      </c>
      <c r="L11" s="26">
        <f>ROUND((F11/100)*200,0)</f>
        <v/>
      </c>
      <c r="M11" s="29">
        <f>ROUND((G11/100)*200,0)</f>
        <v/>
      </c>
      <c r="N11" s="26">
        <f>ROUND((H11/100)*200,0)</f>
        <v/>
      </c>
      <c r="O11" s="29">
        <f>ROUND((I11/100)*200,0)</f>
        <v/>
      </c>
    </row>
    <row r="12" ht="16" customHeight="1">
      <c r="B12" s="70" t="n"/>
      <c r="C12" s="59" t="inlineStr">
        <is>
          <t>go</t>
        </is>
      </c>
      <c r="D12" s="4" t="inlineStr">
        <is>
          <t>c++</t>
        </is>
      </c>
      <c r="E12" s="9" t="n">
        <v>36</v>
      </c>
      <c r="F12" s="39" t="n">
        <v>58</v>
      </c>
      <c r="G12" s="9" t="n">
        <v>0</v>
      </c>
      <c r="H12" s="39" t="n">
        <v>5.5</v>
      </c>
      <c r="I12" s="10" t="n">
        <v>0.5</v>
      </c>
      <c r="J12" s="65">
        <f>ROUND(AVERAGE(E12:E15),1)</f>
        <v/>
      </c>
      <c r="K12" s="28">
        <f>ROUND((E12/100)*200,0)</f>
        <v/>
      </c>
      <c r="L12" s="16">
        <f>ROUND((F12/100)*200,0)</f>
        <v/>
      </c>
      <c r="M12" s="28">
        <f>ROUND((G12/100)*200,0)</f>
        <v/>
      </c>
      <c r="N12" s="16">
        <f>ROUND((H12/100)*200,0)</f>
        <v/>
      </c>
      <c r="O12" s="28">
        <f>ROUND((I12/100)*200,0)</f>
        <v/>
      </c>
    </row>
    <row r="13" ht="16" customHeight="1">
      <c r="B13" s="70" t="n"/>
      <c r="C13" s="71" t="n"/>
      <c r="D13" s="4" t="inlineStr">
        <is>
          <t>c</t>
        </is>
      </c>
      <c r="E13" s="66" t="n">
        <v>37.5</v>
      </c>
      <c r="F13" s="37" t="n">
        <v>52</v>
      </c>
      <c r="G13" s="66" t="n">
        <v>0</v>
      </c>
      <c r="H13" s="37" t="n">
        <v>10</v>
      </c>
      <c r="I13" s="6" t="n">
        <v>0.5</v>
      </c>
      <c r="K13" s="28">
        <f>ROUND((E13/100)*200,0)</f>
        <v/>
      </c>
      <c r="L13" s="16">
        <f>ROUND((F13/100)*200,0)</f>
        <v/>
      </c>
      <c r="M13" s="28">
        <f>ROUND((G13/100)*200,0)</f>
        <v/>
      </c>
      <c r="N13" s="16">
        <f>ROUND((H13/100)*200,0)</f>
        <v/>
      </c>
      <c r="O13" s="28">
        <f>ROUND((I13/100)*200,0)</f>
        <v/>
      </c>
    </row>
    <row r="14" ht="16" customHeight="1">
      <c r="B14" s="70" t="n"/>
      <c r="C14" s="71" t="n"/>
      <c r="D14" s="4" t="inlineStr">
        <is>
          <t>java</t>
        </is>
      </c>
      <c r="E14" s="66" t="n">
        <v>45.5</v>
      </c>
      <c r="F14" s="37" t="n">
        <v>25</v>
      </c>
      <c r="G14" s="66" t="n">
        <v>21.5</v>
      </c>
      <c r="H14" s="37" t="n">
        <v>8</v>
      </c>
      <c r="I14" s="6" t="n">
        <v>0</v>
      </c>
      <c r="K14" s="28">
        <f>ROUND((E14/100)*200,0)</f>
        <v/>
      </c>
      <c r="L14" s="16">
        <f>ROUND((F14/100)*200,0)</f>
        <v/>
      </c>
      <c r="M14" s="28">
        <f>ROUND((G14/100)*200,0)</f>
        <v/>
      </c>
      <c r="N14" s="16">
        <f>ROUND((H14/100)*200,0)</f>
        <v/>
      </c>
      <c r="O14" s="28">
        <f>ROUND((I14/100)*200,0)</f>
        <v/>
      </c>
    </row>
    <row r="15" ht="16" customHeight="1">
      <c r="B15" s="70" t="n"/>
      <c r="C15" s="72" t="n"/>
      <c r="D15" s="4" t="inlineStr">
        <is>
          <t>python</t>
        </is>
      </c>
      <c r="E15" s="7" t="n">
        <v>49</v>
      </c>
      <c r="F15" s="38" t="n">
        <v>21</v>
      </c>
      <c r="G15" s="7" t="n">
        <v>23</v>
      </c>
      <c r="H15" s="38" t="n">
        <v>7</v>
      </c>
      <c r="I15" s="8" t="n">
        <v>0</v>
      </c>
      <c r="K15" s="28">
        <f>ROUND((E15/100)*200,0)</f>
        <v/>
      </c>
      <c r="L15" s="16">
        <f>ROUND((F15/100)*200,0)</f>
        <v/>
      </c>
      <c r="M15" s="28">
        <f>ROUND((G15/100)*200,0)</f>
        <v/>
      </c>
      <c r="N15" s="16">
        <f>ROUND((H15/100)*200,0)</f>
        <v/>
      </c>
      <c r="O15" s="28">
        <f>ROUND((I15/100)*200,0)</f>
        <v/>
      </c>
    </row>
    <row r="16" ht="16" customHeight="1">
      <c r="B16" s="70" t="n"/>
      <c r="C16" s="52" t="inlineStr">
        <is>
          <t>java</t>
        </is>
      </c>
      <c r="D16" s="4" t="inlineStr">
        <is>
          <t>c++</t>
        </is>
      </c>
      <c r="E16" s="66" t="n">
        <v>41.02</v>
      </c>
      <c r="F16" s="37" t="n">
        <v>49.23</v>
      </c>
      <c r="G16" s="66" t="n">
        <v>0</v>
      </c>
      <c r="H16" s="37" t="n">
        <v>9.23</v>
      </c>
      <c r="I16" s="6" t="n">
        <v>0.5</v>
      </c>
      <c r="J16" s="73">
        <f>ROUND(AVERAGE(E16:E19),1)</f>
        <v/>
      </c>
      <c r="K16" s="27">
        <f>ROUND((E16/100)*200,0)</f>
        <v/>
      </c>
      <c r="L16" s="35">
        <f>ROUND((F16/100)*200,0)</f>
        <v/>
      </c>
      <c r="M16" s="27">
        <f>ROUND((G16/100)*200,0)</f>
        <v/>
      </c>
      <c r="N16" s="35">
        <f>ROUND((H16/100)*200,0)</f>
        <v/>
      </c>
      <c r="O16" s="27">
        <f>ROUND((I16/100)*200,0)</f>
        <v/>
      </c>
    </row>
    <row r="17" ht="16" customHeight="1">
      <c r="B17" s="70" t="n"/>
      <c r="C17" s="71" t="n"/>
      <c r="D17" s="4" t="inlineStr">
        <is>
          <t>go</t>
        </is>
      </c>
      <c r="E17" s="66" t="n">
        <v>8.199999999999999</v>
      </c>
      <c r="F17" s="37" t="n">
        <v>83.08</v>
      </c>
      <c r="G17" s="66" t="n">
        <v>1.02</v>
      </c>
      <c r="H17" s="37" t="n">
        <v>7.69</v>
      </c>
      <c r="I17" s="6" t="n">
        <v>0</v>
      </c>
      <c r="J17" s="74" t="n"/>
      <c r="K17" s="28">
        <f>ROUND((E17/100)*200,0)</f>
        <v/>
      </c>
      <c r="L17" s="16">
        <f>ROUND((F17/100)*200,0)</f>
        <v/>
      </c>
      <c r="M17" s="28">
        <f>ROUND((G17/100)*200,0)</f>
        <v/>
      </c>
      <c r="N17" s="16">
        <f>ROUND((H17/100)*200,0)</f>
        <v/>
      </c>
      <c r="O17" s="28">
        <f>ROUND((I17/100)*200,0)</f>
        <v/>
      </c>
    </row>
    <row r="18" ht="16" customHeight="1">
      <c r="B18" s="70" t="n"/>
      <c r="C18" s="71" t="n"/>
      <c r="D18" s="4" t="inlineStr">
        <is>
          <t>c</t>
        </is>
      </c>
      <c r="E18" s="66" t="n">
        <v>46.15</v>
      </c>
      <c r="F18" s="37" t="n">
        <v>37.43</v>
      </c>
      <c r="G18" s="66" t="n">
        <v>0</v>
      </c>
      <c r="H18" s="37" t="n">
        <v>14.88</v>
      </c>
      <c r="I18" s="6" t="n">
        <v>1.54</v>
      </c>
      <c r="J18" s="74" t="n"/>
      <c r="K18" s="28">
        <f>ROUND((E18/100)*200,0)</f>
        <v/>
      </c>
      <c r="L18" s="16">
        <f>ROUND((F18/100)*200,0)</f>
        <v/>
      </c>
      <c r="M18" s="28">
        <f>ROUND((G18/100)*200,0)</f>
        <v/>
      </c>
      <c r="N18" s="16">
        <f>ROUND((H18/100)*200,0)</f>
        <v/>
      </c>
      <c r="O18" s="28">
        <f>ROUND((I18/100)*200,0)</f>
        <v/>
      </c>
    </row>
    <row r="19" ht="16" customHeight="1">
      <c r="B19" s="70" t="n"/>
      <c r="C19" s="72" t="n"/>
      <c r="D19" s="4" t="inlineStr">
        <is>
          <t>python</t>
        </is>
      </c>
      <c r="E19" s="66" t="n">
        <v>25.64</v>
      </c>
      <c r="F19" s="37" t="n">
        <v>42.56</v>
      </c>
      <c r="G19" s="66" t="n">
        <v>26.15</v>
      </c>
      <c r="H19" s="37" t="n">
        <v>5.64</v>
      </c>
      <c r="I19" s="6" t="n">
        <v>0</v>
      </c>
      <c r="J19" s="75" t="n"/>
      <c r="K19" s="29">
        <f>ROUND((E19/100)*200,0)</f>
        <v/>
      </c>
      <c r="L19" s="26">
        <f>ROUND((F19/100)*200,0)</f>
        <v/>
      </c>
      <c r="M19" s="29">
        <f>ROUND((G19/100)*200,0)</f>
        <v/>
      </c>
      <c r="N19" s="26">
        <f>ROUND((H19/100)*200,0)</f>
        <v/>
      </c>
      <c r="O19" s="29">
        <f>ROUND((I19/100)*200,0)</f>
        <v/>
      </c>
    </row>
    <row r="20" ht="16" customHeight="1">
      <c r="B20" s="70" t="n"/>
      <c r="C20" s="53" t="inlineStr">
        <is>
          <t>python</t>
        </is>
      </c>
      <c r="D20" s="4" t="inlineStr">
        <is>
          <t>c++</t>
        </is>
      </c>
      <c r="E20" s="9" t="n">
        <v>30</v>
      </c>
      <c r="F20" s="39" t="n">
        <v>64.5</v>
      </c>
      <c r="G20" s="9" t="n">
        <v>0</v>
      </c>
      <c r="H20" s="39" t="n">
        <v>5.5</v>
      </c>
      <c r="I20" s="10" t="n">
        <v>0</v>
      </c>
      <c r="J20" s="63">
        <f>ROUND(AVERAGE(E20:E23),1)</f>
        <v/>
      </c>
      <c r="K20" s="28">
        <f>ROUND((E20/100)*200,0)</f>
        <v/>
      </c>
      <c r="L20" s="16">
        <f>ROUND((F20/100)*200,0)</f>
        <v/>
      </c>
      <c r="M20" s="28">
        <f>ROUND((G20/100)*200,0)</f>
        <v/>
      </c>
      <c r="N20" s="16">
        <f>ROUND((H20/100)*200,0)</f>
        <v/>
      </c>
      <c r="O20" s="28">
        <f>ROUND((I20/100)*200,0)</f>
        <v/>
      </c>
    </row>
    <row r="21" ht="16" customHeight="1">
      <c r="B21" s="70" t="n"/>
      <c r="C21" s="71" t="n"/>
      <c r="D21" s="4" t="inlineStr">
        <is>
          <t>go</t>
        </is>
      </c>
      <c r="E21" s="66" t="n">
        <v>6</v>
      </c>
      <c r="F21" s="37" t="n">
        <v>86.5</v>
      </c>
      <c r="G21" s="66" t="n">
        <v>5.5</v>
      </c>
      <c r="H21" s="37" t="n">
        <v>2</v>
      </c>
      <c r="I21" s="6" t="n">
        <v>0</v>
      </c>
      <c r="J21" s="70" t="n"/>
      <c r="K21" s="28">
        <f>ROUND((E21/100)*200,0)</f>
        <v/>
      </c>
      <c r="L21" s="16">
        <f>ROUND((F21/100)*200,0)</f>
        <v/>
      </c>
      <c r="M21" s="28">
        <f>ROUND((G21/100)*200,0)</f>
        <v/>
      </c>
      <c r="N21" s="16">
        <f>ROUND((H21/100)*200,0)</f>
        <v/>
      </c>
      <c r="O21" s="28">
        <f>ROUND((I21/100)*200,0)</f>
        <v/>
      </c>
    </row>
    <row r="22" ht="16" customHeight="1">
      <c r="B22" s="70" t="n"/>
      <c r="C22" s="71" t="n"/>
      <c r="D22" s="4" t="inlineStr">
        <is>
          <t>java</t>
        </is>
      </c>
      <c r="E22" s="66" t="n">
        <v>55</v>
      </c>
      <c r="F22" s="37" t="n">
        <v>25.5</v>
      </c>
      <c r="G22" s="66" t="n">
        <v>8</v>
      </c>
      <c r="H22" s="37" t="n">
        <v>11</v>
      </c>
      <c r="I22" s="6" t="n">
        <v>0.5</v>
      </c>
      <c r="J22" s="70" t="n"/>
      <c r="K22" s="28">
        <f>ROUND((E22/100)*200,0)</f>
        <v/>
      </c>
      <c r="L22" s="16">
        <f>ROUND((F22/100)*200,0)</f>
        <v/>
      </c>
      <c r="M22" s="28">
        <f>ROUND((G22/100)*200,0)</f>
        <v/>
      </c>
      <c r="N22" s="16">
        <f>ROUND((H22/100)*200,0)</f>
        <v/>
      </c>
      <c r="O22" s="28">
        <f>ROUND((I22/100)*200,0)</f>
        <v/>
      </c>
    </row>
    <row r="23" ht="16" customHeight="1">
      <c r="B23" s="76" t="n"/>
      <c r="C23" s="72" t="n"/>
      <c r="D23" s="4" t="inlineStr">
        <is>
          <t>c</t>
        </is>
      </c>
      <c r="E23" s="66" t="n">
        <v>42</v>
      </c>
      <c r="F23" s="37" t="n">
        <v>37</v>
      </c>
      <c r="G23" s="66" t="n">
        <v>0</v>
      </c>
      <c r="H23" s="37" t="n">
        <v>20.5</v>
      </c>
      <c r="I23" s="6" t="n">
        <v>0.5</v>
      </c>
      <c r="J23" s="70" t="n"/>
      <c r="K23" s="28">
        <f>ROUND((E23/100)*200,0)</f>
        <v/>
      </c>
      <c r="L23" s="16">
        <f>ROUND((F23/100)*200,0)</f>
        <v/>
      </c>
      <c r="M23" s="28">
        <f>ROUND((G23/100)*200,0)</f>
        <v/>
      </c>
      <c r="N23" s="16">
        <f>ROUND((H23/100)*200,0)</f>
        <v/>
      </c>
      <c r="O23" s="28">
        <f>ROUND((I23/100)*200,0)</f>
        <v/>
      </c>
    </row>
    <row r="24" ht="16" customHeight="1">
      <c r="B24" s="50" t="inlineStr">
        <is>
          <t>avatar</t>
        </is>
      </c>
      <c r="C24" s="52" t="inlineStr">
        <is>
          <t>java</t>
        </is>
      </c>
      <c r="D24" s="4" t="inlineStr">
        <is>
          <t>c++</t>
        </is>
      </c>
      <c r="E24" s="9" t="n">
        <v>1.2</v>
      </c>
      <c r="F24" s="39" t="n">
        <v>98.8</v>
      </c>
      <c r="G24" s="9" t="n">
        <v>0</v>
      </c>
      <c r="H24" s="39" t="n">
        <v>0</v>
      </c>
      <c r="I24" s="10" t="n">
        <v>0</v>
      </c>
      <c r="J24" s="73">
        <f>ROUND(AVERAGE(E24:E27),1)</f>
        <v/>
      </c>
      <c r="K24" s="43">
        <f>ROUND((E24/100)*249,0)</f>
        <v/>
      </c>
      <c r="L24" s="27">
        <f>ROUND((F24/100)*249,0)</f>
        <v/>
      </c>
      <c r="M24" s="35">
        <f>ROUND((G24/100)*249,0)</f>
        <v/>
      </c>
      <c r="N24" s="27">
        <f>ROUND((H24/100)*249,0)</f>
        <v/>
      </c>
      <c r="O24" s="46">
        <f>ROUND((I24/100)*249,0)</f>
        <v/>
      </c>
    </row>
    <row r="25" ht="16" customHeight="1">
      <c r="B25" s="70" t="n"/>
      <c r="C25" s="71" t="n"/>
      <c r="D25" s="4" t="inlineStr">
        <is>
          <t>go</t>
        </is>
      </c>
      <c r="E25" s="66" t="n">
        <v>1.2</v>
      </c>
      <c r="F25" s="37" t="n">
        <v>94.78</v>
      </c>
      <c r="G25" s="66" t="n">
        <v>0</v>
      </c>
      <c r="H25" s="37" t="n">
        <v>4.02</v>
      </c>
      <c r="I25" s="6" t="n">
        <v>0</v>
      </c>
      <c r="J25" s="74" t="n"/>
      <c r="K25" s="41">
        <f>ROUND((E25/100)*249,0)</f>
        <v/>
      </c>
      <c r="L25" s="28">
        <f>ROUND((F25/100)*249,0)</f>
        <v/>
      </c>
      <c r="M25" s="16">
        <f>ROUND((G25/100)*249,0)</f>
        <v/>
      </c>
      <c r="N25" s="28">
        <f>ROUND((H25/100)*249,0)</f>
        <v/>
      </c>
      <c r="O25" s="42">
        <f>ROUND((I25/100)*249,0)</f>
        <v/>
      </c>
    </row>
    <row r="26" ht="16" customHeight="1">
      <c r="B26" s="70" t="n"/>
      <c r="C26" s="71" t="n"/>
      <c r="D26" s="4" t="inlineStr">
        <is>
          <t>c</t>
        </is>
      </c>
      <c r="E26" s="66" t="n">
        <v>25.79</v>
      </c>
      <c r="F26" s="37" t="n">
        <v>46.8</v>
      </c>
      <c r="G26" s="66" t="n">
        <v>0</v>
      </c>
      <c r="H26" s="37" t="n">
        <v>26.19</v>
      </c>
      <c r="I26" s="6" t="n">
        <v>1.19</v>
      </c>
      <c r="J26" s="74" t="n"/>
      <c r="K26" s="41">
        <f>ROUND((E26/100)*249,0)</f>
        <v/>
      </c>
      <c r="L26" s="28">
        <f>ROUND((F26/100)*249,0)</f>
        <v/>
      </c>
      <c r="M26" s="16">
        <f>ROUND((G26/100)*249,0)</f>
        <v/>
      </c>
      <c r="N26" s="28">
        <f>ROUND((H26/100)*249,0)</f>
        <v/>
      </c>
      <c r="O26" s="42">
        <f>ROUND((I26/100)*249,0)</f>
        <v/>
      </c>
    </row>
    <row r="27" ht="16" customHeight="1">
      <c r="B27" s="70" t="n"/>
      <c r="C27" s="72" t="n"/>
      <c r="D27" s="4" t="inlineStr">
        <is>
          <t>python</t>
        </is>
      </c>
      <c r="E27" s="66" t="n">
        <v>19.52</v>
      </c>
      <c r="F27" s="37" t="n">
        <v>48.2</v>
      </c>
      <c r="G27" s="66" t="n">
        <v>22.31</v>
      </c>
      <c r="H27" s="37" t="n">
        <v>8.75</v>
      </c>
      <c r="I27" s="6" t="n">
        <v>1.19</v>
      </c>
      <c r="J27" s="75" t="n"/>
      <c r="K27" s="44">
        <f>ROUND((E27/100)*249,0)</f>
        <v/>
      </c>
      <c r="L27" s="29">
        <f>ROUND((F27/100)*249,0)</f>
        <v/>
      </c>
      <c r="M27" s="26">
        <f>ROUND((G27/100)*249,0)</f>
        <v/>
      </c>
      <c r="N27" s="29">
        <f>ROUND((H27/100)*249,0)</f>
        <v/>
      </c>
      <c r="O27" s="45">
        <f>ROUND((I27/100)*249,0)</f>
        <v/>
      </c>
    </row>
    <row r="28" ht="16" customHeight="1">
      <c r="B28" s="70" t="n"/>
      <c r="C28" s="53" t="inlineStr">
        <is>
          <t>python</t>
        </is>
      </c>
      <c r="D28" s="4" t="inlineStr">
        <is>
          <t>c++</t>
        </is>
      </c>
      <c r="E28" s="9" t="n">
        <v>13.2</v>
      </c>
      <c r="F28" s="39" t="n">
        <v>78.8</v>
      </c>
      <c r="G28" s="9" t="n">
        <v>0</v>
      </c>
      <c r="H28" s="39" t="n">
        <v>8</v>
      </c>
      <c r="I28" s="10" t="n">
        <v>0</v>
      </c>
      <c r="J28" s="63">
        <f>ROUND(AVERAGE(E28:E31),1)</f>
        <v/>
      </c>
      <c r="K28" s="41">
        <f>ROUND((E28/100)*250,0)</f>
        <v/>
      </c>
      <c r="L28" s="41">
        <f>ROUND((F28/100)*250,0)</f>
        <v/>
      </c>
      <c r="M28" s="41">
        <f>ROUND((G28/100)*250,0)</f>
        <v/>
      </c>
      <c r="N28" s="28">
        <f>ROUND((H28/100)*250,0)</f>
        <v/>
      </c>
      <c r="O28" s="28">
        <f>ROUND((I28/100)*250,0)</f>
        <v/>
      </c>
    </row>
    <row r="29" ht="16" customHeight="1">
      <c r="B29" s="70" t="n"/>
      <c r="C29" s="71" t="n"/>
      <c r="D29" s="4" t="inlineStr">
        <is>
          <t>go</t>
        </is>
      </c>
      <c r="E29" s="66" t="n">
        <v>2</v>
      </c>
      <c r="F29" s="37" t="n">
        <v>94</v>
      </c>
      <c r="G29" s="66" t="n">
        <v>1.2</v>
      </c>
      <c r="H29" s="37" t="n">
        <v>2.8</v>
      </c>
      <c r="I29" s="6" t="n">
        <v>0</v>
      </c>
      <c r="J29" s="70" t="n"/>
      <c r="K29" s="41">
        <f>ROUND((E29/100)*250,0)</f>
        <v/>
      </c>
      <c r="L29" s="41">
        <f>ROUND((F29/100)*250,0)</f>
        <v/>
      </c>
      <c r="M29" s="41">
        <f>ROUND((G29/100)*250,0)</f>
        <v/>
      </c>
      <c r="N29" s="28">
        <f>ROUND((H29/100)*250,0)</f>
        <v/>
      </c>
      <c r="O29" s="28">
        <f>ROUND((I29/100)*250,0)</f>
        <v/>
      </c>
    </row>
    <row r="30" ht="16" customHeight="1">
      <c r="B30" s="70" t="n"/>
      <c r="C30" s="71" t="n"/>
      <c r="D30" s="4" t="inlineStr">
        <is>
          <t>java</t>
        </is>
      </c>
      <c r="E30" s="66" t="n">
        <v>23.16</v>
      </c>
      <c r="F30" s="37" t="n">
        <v>39.28</v>
      </c>
      <c r="G30" s="66" t="n">
        <v>11.11</v>
      </c>
      <c r="H30" s="37" t="n">
        <v>25.4</v>
      </c>
      <c r="I30" s="6" t="n">
        <v>1.19</v>
      </c>
      <c r="J30" s="70" t="n"/>
      <c r="K30" s="41">
        <f>ROUND((E30/100)*250,0)</f>
        <v/>
      </c>
      <c r="L30" s="41">
        <f>ROUND((F30/100)*250,0)</f>
        <v/>
      </c>
      <c r="M30" s="41">
        <f>ROUND((G30/100)*250,0)</f>
        <v/>
      </c>
      <c r="N30" s="28">
        <f>ROUND((H30/100)*250,0)</f>
        <v/>
      </c>
      <c r="O30" s="28">
        <f>ROUND((I30/100)*250,0)</f>
        <v/>
      </c>
    </row>
    <row r="31" ht="16" customHeight="1">
      <c r="B31" s="76" t="n"/>
      <c r="C31" s="72" t="n"/>
      <c r="D31" s="12" t="inlineStr">
        <is>
          <t>c</t>
        </is>
      </c>
      <c r="E31" s="66" t="n">
        <v>18.25</v>
      </c>
      <c r="F31" s="49" t="n">
        <v>43.25</v>
      </c>
      <c r="G31" s="66" t="n">
        <v>0</v>
      </c>
      <c r="H31" s="49" t="n">
        <v>36.11</v>
      </c>
      <c r="I31" s="6" t="n">
        <v>2.38</v>
      </c>
      <c r="J31" s="70" t="n"/>
      <c r="K31" s="28">
        <f>ROUND((E31/100)*250,0)</f>
        <v/>
      </c>
      <c r="L31" s="16">
        <f>ROUND((F31/100)*250,0)</f>
        <v/>
      </c>
      <c r="M31" s="28">
        <f>ROUND((G31/100)*250,0)</f>
        <v/>
      </c>
      <c r="N31" s="16">
        <f>ROUND((H31/100)*250,0)</f>
        <v/>
      </c>
      <c r="O31" s="28">
        <f>ROUND((I31/100)*250,0)</f>
        <v/>
      </c>
    </row>
    <row r="32" ht="16" customHeight="1">
      <c r="B32" s="13" t="inlineStr">
        <is>
          <t>evalplus</t>
        </is>
      </c>
      <c r="C32" s="53" t="inlineStr">
        <is>
          <t>python</t>
        </is>
      </c>
      <c r="D32" s="4" t="inlineStr">
        <is>
          <t>java</t>
        </is>
      </c>
      <c r="E32" s="4" t="n">
        <v>21.95</v>
      </c>
      <c r="F32" s="48" t="n">
        <v>53.66</v>
      </c>
      <c r="G32" s="4" t="n">
        <v>5.49</v>
      </c>
      <c r="H32" s="48" t="n">
        <v>18.9</v>
      </c>
      <c r="I32" s="4" t="n">
        <v>0</v>
      </c>
      <c r="J32" s="33">
        <f>ROUND(E32,1)</f>
        <v/>
      </c>
      <c r="K32" s="34">
        <f>ROUND((E32/100)*164,0)</f>
        <v/>
      </c>
      <c r="L32" s="31">
        <f>ROUND((F32/100)*164,0)</f>
        <v/>
      </c>
      <c r="M32" s="34">
        <f>ROUND((G32/100)*164,0)</f>
        <v/>
      </c>
      <c r="N32" s="31">
        <f>ROUND((H32/100)*164,0)</f>
        <v/>
      </c>
      <c r="O32" s="34">
        <f>ROUND((I32/100)*164,0)</f>
        <v/>
      </c>
    </row>
    <row r="33" ht="16" customHeight="1">
      <c r="B33" s="18" t="inlineStr">
        <is>
          <t>Commons-CLI</t>
        </is>
      </c>
      <c r="C33" s="25" t="inlineStr">
        <is>
          <t>Java</t>
        </is>
      </c>
      <c r="D33" s="14" t="inlineStr">
        <is>
          <t>python</t>
        </is>
      </c>
      <c r="E33" s="15" t="n">
        <v>0</v>
      </c>
      <c r="F33" s="37" t="n">
        <v>100</v>
      </c>
      <c r="G33" s="66" t="n">
        <v>0</v>
      </c>
      <c r="H33" s="37" t="n">
        <v>0</v>
      </c>
      <c r="I33" s="6" t="n">
        <v>0</v>
      </c>
      <c r="J33" s="16">
        <f>ROUND(E33,1)</f>
        <v/>
      </c>
      <c r="K33" s="28">
        <f>ROUND((E33/100)*22,0)</f>
        <v/>
      </c>
      <c r="L33" s="16">
        <f>ROUND((F33/100)*22,0)</f>
        <v/>
      </c>
      <c r="M33" s="28">
        <f>ROUND((G33/100)*22,0)</f>
        <v/>
      </c>
      <c r="N33" s="16">
        <f>ROUND((H33/100)*22,0)</f>
        <v/>
      </c>
      <c r="O33" s="28">
        <f>ROUND((I33/100)*22,0)</f>
        <v/>
      </c>
    </row>
    <row r="34" ht="16" customHeight="1">
      <c r="B34" s="30" t="inlineStr">
        <is>
          <t>Click</t>
        </is>
      </c>
      <c r="C34" s="47" t="inlineStr">
        <is>
          <t>python</t>
        </is>
      </c>
      <c r="D34" s="40" t="inlineStr">
        <is>
          <t>java</t>
        </is>
      </c>
      <c r="E34" s="66" t="n">
        <v>0</v>
      </c>
      <c r="F34" s="37" t="n">
        <v>100</v>
      </c>
      <c r="G34" s="66" t="n">
        <v>0</v>
      </c>
      <c r="H34" s="37" t="n">
        <v>0</v>
      </c>
      <c r="I34" s="6" t="n">
        <v>0</v>
      </c>
      <c r="J34" s="16">
        <f>ROUND(E34,1)</f>
        <v/>
      </c>
      <c r="K34" s="28">
        <f>ROUND((E34/100)*15,0)</f>
        <v/>
      </c>
      <c r="L34" s="16">
        <f>ROUND((F34/100)*15,0)</f>
        <v/>
      </c>
      <c r="M34" s="28">
        <f>ROUND((G34/100)*15,0)</f>
        <v/>
      </c>
      <c r="N34" s="16">
        <f>ROUND((H34/100)*15,0)</f>
        <v/>
      </c>
      <c r="O34" s="28">
        <f>ROUND((I34/100)*15,0)</f>
        <v/>
      </c>
    </row>
    <row r="35">
      <c r="B35" s="55" t="inlineStr">
        <is>
          <t>Total/Average</t>
        </is>
      </c>
      <c r="C35" s="77" t="n"/>
      <c r="D35" s="77" t="n"/>
      <c r="E35" s="34">
        <f>AVERAGE(AVERAGE(E4:E23),AVERAGE(E24:E31),E32,E33,E34)</f>
        <v/>
      </c>
      <c r="F35" s="34">
        <f>AVERAGE(AVERAGE(F4:F23),AVERAGE(F24:F31),F32,F33,F34)</f>
        <v/>
      </c>
      <c r="G35" s="31">
        <f>AVERAGE(AVERAGE(G4:G23),AVERAGE(G24:G31),G32,G33,G34)</f>
        <v/>
      </c>
      <c r="H35" s="34">
        <f>AVERAGE(AVERAGE(H4:H23),AVERAGE(H24:H31),H32,H33,H34)</f>
        <v/>
      </c>
      <c r="I35" s="31">
        <f>AVERAGE(AVERAGE(I4:I23),AVERAGE(I24:I31),I32,I33,I34)</f>
        <v/>
      </c>
      <c r="J35" s="34">
        <f>ROUND(AVERAGE(AVERAGE(J4:J23),AVERAGE(J24:J31),J32,J33,J34),1)</f>
        <v/>
      </c>
      <c r="K35" s="34">
        <f>ROUND(AVERAGE(K4:K34),0)</f>
        <v/>
      </c>
      <c r="L35" s="34">
        <f>ROUND(AVERAGE(L4:L34),0)</f>
        <v/>
      </c>
      <c r="M35" s="34">
        <f>ROUND(AVERAGE(M4:M34),0)</f>
        <v/>
      </c>
      <c r="N35" s="34">
        <f>ROUND(AVERAGE(N4:N34),0)</f>
        <v/>
      </c>
      <c r="O35" s="34">
        <f>ROUND(AVERAGE(O4:O34),0)</f>
        <v/>
      </c>
    </row>
    <row r="37">
      <c r="B37" s="1" t="inlineStr">
        <is>
          <t>StarCoder (nosso subconjunto de 100 arquivos)</t>
        </is>
      </c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</row>
    <row r="38">
      <c r="B38" s="50" t="inlineStr">
        <is>
          <t>codenet</t>
        </is>
      </c>
      <c r="C38" s="52" t="inlineStr">
        <is>
          <t>python</t>
        </is>
      </c>
      <c r="D38" s="4" t="inlineStr">
        <is>
          <t>java</t>
        </is>
      </c>
      <c r="E38" s="9" t="n">
        <v>56</v>
      </c>
      <c r="F38" s="9" t="n">
        <v>25</v>
      </c>
      <c r="G38" s="9" t="n">
        <v>6</v>
      </c>
      <c r="H38" s="9" t="n">
        <v>13</v>
      </c>
      <c r="I38" s="9" t="n">
        <v>0</v>
      </c>
      <c r="J38" s="9">
        <f>ROUND(E38,1)</f>
        <v/>
      </c>
      <c r="K38" s="9">
        <f>ROUND((E38/100)*100,0)</f>
        <v/>
      </c>
      <c r="L38" s="9">
        <f>ROUND((F38/100)*100,0)</f>
        <v/>
      </c>
      <c r="M38" s="9">
        <f>ROUND((G38/100)*100,0)</f>
        <v/>
      </c>
      <c r="N38" s="9">
        <f>ROUND((H38/100)*100,0)</f>
        <v/>
      </c>
      <c r="O38" s="9">
        <f>ROUND((I38/100)*100,0)</f>
        <v/>
      </c>
    </row>
    <row r="39">
      <c r="B39" s="4" t="n"/>
      <c r="C39" s="52" t="inlineStr">
        <is>
          <t>java</t>
        </is>
      </c>
      <c r="D39" s="4" t="inlineStr">
        <is>
          <t>python</t>
        </is>
      </c>
      <c r="E39" s="9" t="n">
        <v>21.43</v>
      </c>
      <c r="F39" s="9" t="n">
        <v>42.86</v>
      </c>
      <c r="G39" s="9" t="n">
        <v>29.59</v>
      </c>
      <c r="H39" s="9" t="n">
        <v>6.12</v>
      </c>
      <c r="I39" s="9" t="n">
        <v>0</v>
      </c>
      <c r="J39" s="9">
        <f>ROUND(E39,1)</f>
        <v/>
      </c>
      <c r="K39" s="9">
        <f>ROUND((E39/100)*98,0)</f>
        <v/>
      </c>
      <c r="L39" s="9">
        <f>ROUND((F39/100)*98,0)</f>
        <v/>
      </c>
      <c r="M39" s="9">
        <f>ROUND((G39/100)*98,0)</f>
        <v/>
      </c>
      <c r="N39" s="9">
        <f>ROUND((H39/100)*98,0)</f>
        <v/>
      </c>
      <c r="O39" s="9">
        <f>ROUND((I39/100)*98,0)</f>
        <v/>
      </c>
    </row>
    <row r="40">
      <c r="B40" s="50" t="inlineStr">
        <is>
          <t>avatar</t>
        </is>
      </c>
      <c r="C40" s="52" t="inlineStr">
        <is>
          <t>python</t>
        </is>
      </c>
      <c r="D40" s="4" t="inlineStr">
        <is>
          <t>java</t>
        </is>
      </c>
      <c r="E40" s="9" t="n">
        <v>29</v>
      </c>
      <c r="F40" s="9" t="n">
        <v>35</v>
      </c>
      <c r="G40" s="9" t="n">
        <v>10</v>
      </c>
      <c r="H40" s="9" t="n">
        <v>26</v>
      </c>
      <c r="I40" s="9" t="n">
        <v>0</v>
      </c>
      <c r="J40" s="9">
        <f>ROUND(E40,1)</f>
        <v/>
      </c>
      <c r="K40" s="9">
        <f>ROUND((E40/100)*100,0)</f>
        <v/>
      </c>
      <c r="L40" s="9">
        <f>ROUND((F40/100)*100,0)</f>
        <v/>
      </c>
      <c r="M40" s="9">
        <f>ROUND((G40/100)*100,0)</f>
        <v/>
      </c>
      <c r="N40" s="9">
        <f>ROUND((H40/100)*100,0)</f>
        <v/>
      </c>
      <c r="O40" s="9">
        <f>ROUND((I40/100)*100,0)</f>
        <v/>
      </c>
    </row>
    <row r="41">
      <c r="B41" s="4" t="n"/>
      <c r="C41" s="52" t="inlineStr">
        <is>
          <t>java</t>
        </is>
      </c>
      <c r="D41" s="4" t="inlineStr">
        <is>
          <t>python</t>
        </is>
      </c>
      <c r="E41" s="9" t="n">
        <v>20</v>
      </c>
      <c r="F41" s="9" t="n">
        <v>49</v>
      </c>
      <c r="G41" s="9" t="n">
        <v>25</v>
      </c>
      <c r="H41" s="9" t="n">
        <v>6</v>
      </c>
      <c r="I41" s="9" t="n">
        <v>0</v>
      </c>
      <c r="J41" s="9">
        <f>ROUND(E41,1)</f>
        <v/>
      </c>
      <c r="K41" s="9">
        <f>ROUND((E41/100)*100,0)</f>
        <v/>
      </c>
      <c r="L41" s="9">
        <f>ROUND((F41/100)*100,0)</f>
        <v/>
      </c>
      <c r="M41" s="9">
        <f>ROUND((G41/100)*100,0)</f>
        <v/>
      </c>
      <c r="N41" s="9">
        <f>ROUND((H41/100)*100,0)</f>
        <v/>
      </c>
      <c r="O41" s="9">
        <f>ROUND((I41/100)*100,0)</f>
        <v/>
      </c>
    </row>
    <row r="42">
      <c r="B42" s="55" t="inlineStr">
        <is>
          <t>Total/Average (100-file subset)</t>
        </is>
      </c>
      <c r="C42" s="55" t="n"/>
      <c r="E42" s="34">
        <f>ROUND(AVERAGE(E38:E41),2)</f>
        <v/>
      </c>
      <c r="F42" s="34">
        <f>ROUND(AVERAGE(F38:F41),2)</f>
        <v/>
      </c>
      <c r="G42" s="34">
        <f>ROUND(AVERAGE(G38:G41),2)</f>
        <v/>
      </c>
      <c r="H42" s="34">
        <f>ROUND(AVERAGE(H38:H41),2)</f>
        <v/>
      </c>
      <c r="I42" s="34">
        <f>ROUND(AVERAGE(I38:I41),2)</f>
        <v/>
      </c>
      <c r="J42" s="34">
        <f>ROUND(AVERAGE(J38:J41),1)</f>
        <v/>
      </c>
      <c r="K42" s="34">
        <f>ROUND(AVERAGE(K38:K41),0)</f>
        <v/>
      </c>
      <c r="L42" s="34">
        <f>ROUND(AVERAGE(L38:L41),0)</f>
        <v/>
      </c>
      <c r="M42" s="34">
        <f>ROUND(AVERAGE(M38:M41),0)</f>
        <v/>
      </c>
      <c r="N42" s="34">
        <f>ROUND(AVERAGE(N38:N41),0)</f>
        <v/>
      </c>
      <c r="O42" s="34">
        <f>ROUND(AVERAGE(O38:O41),0)</f>
        <v/>
      </c>
    </row>
  </sheetData>
  <mergeCells count="17">
    <mergeCell ref="C4:C7"/>
    <mergeCell ref="C28:C31"/>
    <mergeCell ref="J4:J7"/>
    <mergeCell ref="J12:J15"/>
    <mergeCell ref="J28:J31"/>
    <mergeCell ref="B4:B23"/>
    <mergeCell ref="C8:C11"/>
    <mergeCell ref="B35:D35"/>
    <mergeCell ref="C16:C19"/>
    <mergeCell ref="C20:C23"/>
    <mergeCell ref="C12:C15"/>
    <mergeCell ref="J8:J11"/>
    <mergeCell ref="J16:J19"/>
    <mergeCell ref="J20:J23"/>
    <mergeCell ref="B24:B31"/>
    <mergeCell ref="J24:J27"/>
    <mergeCell ref="C24:C27"/>
  </mergeCell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3:O35"/>
  <sheetViews>
    <sheetView topLeftCell="B1" workbookViewId="0">
      <selection activeCell="F40" sqref="F40"/>
    </sheetView>
  </sheetViews>
  <sheetFormatPr baseColWidth="10" defaultColWidth="8.83203125" defaultRowHeight="15"/>
  <cols>
    <col width="11.5" customWidth="1" min="2" max="2"/>
    <col width="16.1640625" customWidth="1" min="3" max="3"/>
    <col width="12.5" customWidth="1" min="4" max="4"/>
    <col width="18.6640625" customWidth="1" min="5" max="5"/>
    <col width="26.33203125" customWidth="1" min="6" max="6"/>
    <col width="24.1640625" customWidth="1" min="7" max="7"/>
    <col width="22.83203125" customWidth="1" min="8" max="8"/>
    <col width="21.5" customWidth="1" min="9" max="9"/>
    <col width="17" customWidth="1" min="10" max="10"/>
    <col width="15.1640625" customWidth="1" min="11" max="11"/>
    <col width="15.83203125" customWidth="1" min="12" max="12"/>
    <col width="15.5" customWidth="1" min="13" max="13"/>
    <col width="14.5" customWidth="1" min="14" max="14"/>
    <col width="19" customWidth="1" min="15" max="15"/>
  </cols>
  <sheetData>
    <row r="3" ht="16" customHeight="1">
      <c r="B3" s="1" t="inlineStr">
        <is>
          <t>dataset</t>
        </is>
      </c>
      <c r="C3" s="2" t="inlineStr">
        <is>
          <t>source</t>
        </is>
      </c>
      <c r="D3" s="2" t="inlineStr">
        <is>
          <t>target</t>
        </is>
      </c>
      <c r="E3" s="3" t="inlineStr">
        <is>
          <t>script accuracy %</t>
        </is>
      </c>
      <c r="F3" s="2" t="inlineStr">
        <is>
          <t>script compilation error %</t>
        </is>
      </c>
      <c r="G3" s="3" t="inlineStr">
        <is>
          <t>script runtime error %</t>
        </is>
      </c>
      <c r="H3" s="2" t="inlineStr">
        <is>
          <t>script wrong output %</t>
        </is>
      </c>
      <c r="I3" s="3" t="inlineStr">
        <is>
          <t>script infinite loop %</t>
        </is>
      </c>
      <c r="J3" s="17" t="inlineStr">
        <is>
          <t>avg source acc %</t>
        </is>
      </c>
      <c r="K3" s="18" t="inlineStr">
        <is>
          <t>num correct</t>
        </is>
      </c>
      <c r="L3" s="18" t="inlineStr">
        <is>
          <t>num compilation</t>
        </is>
      </c>
      <c r="M3" s="18" t="inlineStr">
        <is>
          <t>num runtime</t>
        </is>
      </c>
      <c r="N3" s="18" t="inlineStr">
        <is>
          <t>num incorrect</t>
        </is>
      </c>
      <c r="O3" s="18" t="inlineStr">
        <is>
          <t>num non-terminating</t>
        </is>
      </c>
    </row>
    <row r="4" ht="16" customHeight="1">
      <c r="B4" s="50" t="inlineStr">
        <is>
          <t>codenet</t>
        </is>
      </c>
      <c r="C4" s="57" t="inlineStr">
        <is>
          <t>c</t>
        </is>
      </c>
      <c r="D4" s="4" t="inlineStr">
        <is>
          <t>c++</t>
        </is>
      </c>
      <c r="E4" s="66" t="n">
        <v>93.5</v>
      </c>
      <c r="F4" s="36" t="n">
        <v>2.99</v>
      </c>
      <c r="G4" s="66" t="n">
        <v>0</v>
      </c>
      <c r="H4" s="36" t="n">
        <v>3.5</v>
      </c>
      <c r="I4" s="6" t="n">
        <v>0</v>
      </c>
      <c r="J4" s="63">
        <f>ROUND(AVERAGE(E4:E7),1)</f>
        <v/>
      </c>
      <c r="K4" s="27">
        <f>ROUND((E4/100)*200,0)</f>
        <v/>
      </c>
      <c r="L4" s="16">
        <f>ROUND((F4/100)*200,0)</f>
        <v/>
      </c>
      <c r="M4" s="27">
        <f>ROUND((G4/100)*200,0)</f>
        <v/>
      </c>
      <c r="N4" s="16">
        <f>ROUND((H4/100)*200,0)</f>
        <v/>
      </c>
      <c r="O4" s="27">
        <f>ROUND((I4/100)*200,0)</f>
        <v/>
      </c>
    </row>
    <row r="5" ht="16" customHeight="1">
      <c r="B5" s="70" t="n"/>
      <c r="C5" s="71" t="n"/>
      <c r="D5" s="4" t="inlineStr">
        <is>
          <t>go</t>
        </is>
      </c>
      <c r="E5" s="66" t="n">
        <v>72.5</v>
      </c>
      <c r="F5" s="37" t="n">
        <v>20.98</v>
      </c>
      <c r="G5" s="66" t="n">
        <v>2.5</v>
      </c>
      <c r="H5" s="37" t="n">
        <v>3.5</v>
      </c>
      <c r="I5" s="6" t="n">
        <v>0.5</v>
      </c>
      <c r="J5" s="70" t="n"/>
      <c r="K5" s="28">
        <f>ROUND((E5/100)*200,0)</f>
        <v/>
      </c>
      <c r="L5" s="16">
        <f>ROUND((F5/100)*200,0)</f>
        <v/>
      </c>
      <c r="M5" s="28">
        <f>ROUND((G5/100)*200,0)</f>
        <v/>
      </c>
      <c r="N5" s="16">
        <f>ROUND((H5/100)*200,0)</f>
        <v/>
      </c>
      <c r="O5" s="28">
        <f>ROUND((I5/100)*200,0)</f>
        <v/>
      </c>
    </row>
    <row r="6" ht="16" customHeight="1">
      <c r="B6" s="70" t="n"/>
      <c r="C6" s="71" t="n"/>
      <c r="D6" s="4" t="inlineStr">
        <is>
          <t>java</t>
        </is>
      </c>
      <c r="E6" s="66" t="n">
        <v>87.5</v>
      </c>
      <c r="F6" s="37" t="n">
        <v>5.5</v>
      </c>
      <c r="G6" s="66" t="n">
        <v>4</v>
      </c>
      <c r="H6" s="37" t="n">
        <v>3</v>
      </c>
      <c r="I6" s="6" t="n">
        <v>0</v>
      </c>
      <c r="J6" s="70" t="n"/>
      <c r="K6" s="28">
        <f>ROUND((E6/100)*200,0)</f>
        <v/>
      </c>
      <c r="L6" s="16">
        <f>ROUND((F6/100)*200,0)</f>
        <v/>
      </c>
      <c r="M6" s="28">
        <f>ROUND((G6/100)*200,0)</f>
        <v/>
      </c>
      <c r="N6" s="16">
        <f>ROUND((H6/100)*200,0)</f>
        <v/>
      </c>
      <c r="O6" s="28">
        <f>ROUND((I6/100)*200,0)</f>
        <v/>
      </c>
    </row>
    <row r="7" ht="16" customHeight="1">
      <c r="B7" s="70" t="n"/>
      <c r="C7" s="72" t="n"/>
      <c r="D7" s="4" t="inlineStr">
        <is>
          <t>python</t>
        </is>
      </c>
      <c r="E7" s="7" t="n">
        <v>78.5</v>
      </c>
      <c r="F7" s="38" t="n">
        <v>0.5</v>
      </c>
      <c r="G7" s="7" t="n">
        <v>12.4</v>
      </c>
      <c r="H7" s="38" t="n">
        <v>8.5</v>
      </c>
      <c r="I7" s="8" t="n">
        <v>0</v>
      </c>
      <c r="J7" s="70" t="n"/>
      <c r="K7" s="28">
        <f>ROUND((E7/100)*200,0)</f>
        <v/>
      </c>
      <c r="L7" s="16">
        <f>ROUND((F7/100)*200,0)</f>
        <v/>
      </c>
      <c r="M7" s="28">
        <f>ROUND((G7/100)*200,0)</f>
        <v/>
      </c>
      <c r="N7" s="16">
        <f>ROUND((H7/100)*200,0)</f>
        <v/>
      </c>
      <c r="O7" s="28">
        <f>ROUND((I7/100)*200,0)</f>
        <v/>
      </c>
    </row>
    <row r="8" ht="16" customHeight="1">
      <c r="B8" s="70" t="n"/>
      <c r="C8" s="58" t="inlineStr">
        <is>
          <t>c++</t>
        </is>
      </c>
      <c r="D8" s="4" t="inlineStr">
        <is>
          <t>c</t>
        </is>
      </c>
      <c r="E8" s="66" t="n">
        <v>86.5</v>
      </c>
      <c r="F8" s="37" t="n">
        <v>9.5</v>
      </c>
      <c r="G8" s="66" t="n">
        <v>0</v>
      </c>
      <c r="H8" s="37" t="n">
        <v>4</v>
      </c>
      <c r="I8" s="6" t="n">
        <v>0</v>
      </c>
      <c r="J8" s="73">
        <f>ROUND(AVERAGE(E8:E11),1)</f>
        <v/>
      </c>
      <c r="K8" s="27">
        <f>ROUND((E8/100)*200,0)</f>
        <v/>
      </c>
      <c r="L8" s="35">
        <f>ROUND((F8/100)*200,0)</f>
        <v/>
      </c>
      <c r="M8" s="27">
        <f>ROUND((G8/100)*200,0)</f>
        <v/>
      </c>
      <c r="N8" s="35">
        <f>ROUND((H8/100)*200,0)</f>
        <v/>
      </c>
      <c r="O8" s="27">
        <f>ROUND((I8/100)*200,0)</f>
        <v/>
      </c>
    </row>
    <row r="9" ht="16" customHeight="1">
      <c r="B9" s="70" t="n"/>
      <c r="C9" s="71" t="n"/>
      <c r="D9" s="4" t="inlineStr">
        <is>
          <t>go</t>
        </is>
      </c>
      <c r="E9" s="66" t="n">
        <v>72</v>
      </c>
      <c r="F9" s="37" t="n">
        <v>23</v>
      </c>
      <c r="G9" s="66" t="n">
        <v>2</v>
      </c>
      <c r="H9" s="37" t="n">
        <v>3</v>
      </c>
      <c r="I9" s="6" t="n">
        <v>0</v>
      </c>
      <c r="J9" s="74" t="n"/>
      <c r="K9" s="28">
        <f>ROUND((E9/100)*200,0)</f>
        <v/>
      </c>
      <c r="L9" s="16">
        <f>ROUND((F9/100)*200,0)</f>
        <v/>
      </c>
      <c r="M9" s="28">
        <f>ROUND((G9/100)*200,0)</f>
        <v/>
      </c>
      <c r="N9" s="16">
        <f>ROUND((H9/100)*200,0)</f>
        <v/>
      </c>
      <c r="O9" s="28">
        <f>ROUND((I9/100)*200,0)</f>
        <v/>
      </c>
    </row>
    <row r="10" ht="16" customHeight="1">
      <c r="B10" s="70" t="n"/>
      <c r="C10" s="71" t="n"/>
      <c r="D10" s="4" t="inlineStr">
        <is>
          <t>java</t>
        </is>
      </c>
      <c r="E10" s="66" t="n">
        <v>87.5</v>
      </c>
      <c r="F10" s="37" t="n">
        <v>7.49</v>
      </c>
      <c r="G10" s="66" t="n">
        <v>2.5</v>
      </c>
      <c r="H10" s="37" t="n">
        <v>2.5</v>
      </c>
      <c r="I10" s="6" t="n">
        <v>0</v>
      </c>
      <c r="J10" s="74" t="n"/>
      <c r="K10" s="28">
        <f>ROUND((E10/100)*200,0)</f>
        <v/>
      </c>
      <c r="L10" s="16">
        <f>ROUND((F10/100)*200,0)</f>
        <v/>
      </c>
      <c r="M10" s="28">
        <f>ROUND((G10/100)*200,0)</f>
        <v/>
      </c>
      <c r="N10" s="16">
        <f>ROUND((H10/100)*200,0)</f>
        <v/>
      </c>
      <c r="O10" s="28">
        <f>ROUND((I10/100)*200,0)</f>
        <v/>
      </c>
    </row>
    <row r="11" ht="16" customHeight="1">
      <c r="B11" s="70" t="n"/>
      <c r="C11" s="72" t="n"/>
      <c r="D11" s="4" t="inlineStr">
        <is>
          <t>python</t>
        </is>
      </c>
      <c r="E11" s="66" t="n">
        <v>74</v>
      </c>
      <c r="F11" s="37" t="n">
        <v>0</v>
      </c>
      <c r="G11" s="66" t="n">
        <v>18.99</v>
      </c>
      <c r="H11" s="37" t="n">
        <v>6.5</v>
      </c>
      <c r="I11" s="6" t="n">
        <v>0.5</v>
      </c>
      <c r="J11" s="75" t="n"/>
      <c r="K11" s="29">
        <f>ROUND((E11/100)*200,0)</f>
        <v/>
      </c>
      <c r="L11" s="26">
        <f>ROUND((F11/100)*200,0)</f>
        <v/>
      </c>
      <c r="M11" s="29">
        <f>ROUND((G11/100)*200,0)</f>
        <v/>
      </c>
      <c r="N11" s="26">
        <f>ROUND((H11/100)*200,0)</f>
        <v/>
      </c>
      <c r="O11" s="29">
        <f>ROUND((I11/100)*200,0)</f>
        <v/>
      </c>
    </row>
    <row r="12" ht="16" customHeight="1">
      <c r="B12" s="70" t="n"/>
      <c r="C12" s="59" t="inlineStr">
        <is>
          <t>go</t>
        </is>
      </c>
      <c r="D12" s="4" t="inlineStr">
        <is>
          <t>c++</t>
        </is>
      </c>
      <c r="E12" s="9" t="n">
        <v>88</v>
      </c>
      <c r="F12" s="39" t="n">
        <v>5.99</v>
      </c>
      <c r="G12" s="9" t="n">
        <v>0</v>
      </c>
      <c r="H12" s="39" t="n">
        <v>6</v>
      </c>
      <c r="I12" s="10" t="n">
        <v>0</v>
      </c>
      <c r="J12" s="65">
        <f>ROUND(AVERAGE(E12:E15),1)</f>
        <v/>
      </c>
      <c r="K12" s="28">
        <f>ROUND((E12/100)*200,0)</f>
        <v/>
      </c>
      <c r="L12" s="16">
        <f>ROUND((F12/100)*200,0)</f>
        <v/>
      </c>
      <c r="M12" s="28">
        <f>ROUND((G12/100)*200,0)</f>
        <v/>
      </c>
      <c r="N12" s="16">
        <f>ROUND((H12/100)*200,0)</f>
        <v/>
      </c>
      <c r="O12" s="28">
        <f>ROUND((I12/100)*200,0)</f>
        <v/>
      </c>
    </row>
    <row r="13" ht="16" customHeight="1">
      <c r="B13" s="70" t="n"/>
      <c r="C13" s="71" t="n"/>
      <c r="D13" s="4" t="inlineStr">
        <is>
          <t>c</t>
        </is>
      </c>
      <c r="E13" s="66" t="n">
        <v>84.5</v>
      </c>
      <c r="F13" s="37" t="n">
        <v>6</v>
      </c>
      <c r="G13" s="66" t="n">
        <v>0</v>
      </c>
      <c r="H13" s="37" t="n">
        <v>9.5</v>
      </c>
      <c r="I13" s="6" t="n">
        <v>0</v>
      </c>
      <c r="K13" s="28">
        <f>ROUND((E13/100)*200,0)</f>
        <v/>
      </c>
      <c r="L13" s="16">
        <f>ROUND((F13/100)*200,0)</f>
        <v/>
      </c>
      <c r="M13" s="28">
        <f>ROUND((G13/100)*200,0)</f>
        <v/>
      </c>
      <c r="N13" s="16">
        <f>ROUND((H13/100)*200,0)</f>
        <v/>
      </c>
      <c r="O13" s="28">
        <f>ROUND((I13/100)*200,0)</f>
        <v/>
      </c>
    </row>
    <row r="14" ht="16" customHeight="1">
      <c r="B14" s="70" t="n"/>
      <c r="C14" s="71" t="n"/>
      <c r="D14" s="4" t="inlineStr">
        <is>
          <t>java</t>
        </is>
      </c>
      <c r="E14" s="66" t="n">
        <v>88.5</v>
      </c>
      <c r="F14" s="37" t="n">
        <v>3.98</v>
      </c>
      <c r="G14" s="66" t="n">
        <v>2.5</v>
      </c>
      <c r="H14" s="37" t="n">
        <v>5</v>
      </c>
      <c r="I14" s="6" t="n">
        <v>0</v>
      </c>
      <c r="K14" s="28">
        <f>ROUND((E14/100)*200,0)</f>
        <v/>
      </c>
      <c r="L14" s="16">
        <f>ROUND((F14/100)*200,0)</f>
        <v/>
      </c>
      <c r="M14" s="28">
        <f>ROUND((G14/100)*200,0)</f>
        <v/>
      </c>
      <c r="N14" s="16">
        <f>ROUND((H14/100)*200,0)</f>
        <v/>
      </c>
      <c r="O14" s="28">
        <f>ROUND((I14/100)*200,0)</f>
        <v/>
      </c>
    </row>
    <row r="15" ht="16" customHeight="1">
      <c r="B15" s="70" t="n"/>
      <c r="C15" s="72" t="n"/>
      <c r="D15" s="4" t="inlineStr">
        <is>
          <t>python</t>
        </is>
      </c>
      <c r="E15" s="7" t="n">
        <v>81</v>
      </c>
      <c r="F15" s="38" t="n">
        <v>0.5</v>
      </c>
      <c r="G15" s="7" t="n">
        <v>13.49</v>
      </c>
      <c r="H15" s="38" t="n">
        <v>5</v>
      </c>
      <c r="I15" s="8" t="n">
        <v>0</v>
      </c>
      <c r="K15" s="28">
        <f>ROUND((E15/100)*200,0)</f>
        <v/>
      </c>
      <c r="L15" s="16">
        <f>ROUND((F15/100)*200,0)</f>
        <v/>
      </c>
      <c r="M15" s="28">
        <f>ROUND((G15/100)*200,0)</f>
        <v/>
      </c>
      <c r="N15" s="16">
        <f>ROUND((H15/100)*200,0)</f>
        <v/>
      </c>
      <c r="O15" s="28">
        <f>ROUND((I15/100)*200,0)</f>
        <v/>
      </c>
    </row>
    <row r="16" ht="16" customHeight="1">
      <c r="B16" s="70" t="n"/>
      <c r="C16" s="52" t="inlineStr">
        <is>
          <t>java</t>
        </is>
      </c>
      <c r="D16" s="4" t="inlineStr">
        <is>
          <t>c++</t>
        </is>
      </c>
      <c r="E16" s="66" t="n">
        <v>89.5</v>
      </c>
      <c r="F16" s="37" t="n">
        <v>4.49</v>
      </c>
      <c r="G16" s="66" t="n">
        <v>1</v>
      </c>
      <c r="H16" s="37" t="n">
        <v>3</v>
      </c>
      <c r="I16" s="6" t="n">
        <v>0</v>
      </c>
      <c r="J16" s="73">
        <f>ROUND(AVERAGE(E16:E19),1)</f>
        <v/>
      </c>
      <c r="K16" s="27">
        <f>ROUND((E16/100)*200,0)</f>
        <v/>
      </c>
      <c r="L16" s="35">
        <f>ROUND((F16/100)*200,0)</f>
        <v/>
      </c>
      <c r="M16" s="27">
        <f>ROUND((G16/100)*200,0)</f>
        <v/>
      </c>
      <c r="N16" s="35">
        <f>ROUND((H16/100)*200,0)</f>
        <v/>
      </c>
      <c r="O16" s="27">
        <f>ROUND((I16/100)*200,0)</f>
        <v/>
      </c>
    </row>
    <row r="17" ht="16" customHeight="1">
      <c r="B17" s="70" t="n"/>
      <c r="C17" s="71" t="n"/>
      <c r="D17" s="4" t="inlineStr">
        <is>
          <t>go</t>
        </is>
      </c>
      <c r="E17" s="66" t="n">
        <v>70</v>
      </c>
      <c r="F17" s="37" t="n">
        <v>25.49</v>
      </c>
      <c r="G17" s="66" t="n">
        <v>2</v>
      </c>
      <c r="H17" s="37" t="n">
        <v>2</v>
      </c>
      <c r="I17" s="6" t="n">
        <v>0.5</v>
      </c>
      <c r="J17" s="74" t="n"/>
      <c r="K17" s="28">
        <f>ROUND((E17/100)*200,0)</f>
        <v/>
      </c>
      <c r="L17" s="16">
        <f>ROUND((F17/100)*200,0)</f>
        <v/>
      </c>
      <c r="M17" s="28">
        <f>ROUND((G17/100)*200,0)</f>
        <v/>
      </c>
      <c r="N17" s="16">
        <f>ROUND((H17/100)*200,0)</f>
        <v/>
      </c>
      <c r="O17" s="28">
        <f>ROUND((I17/100)*200,0)</f>
        <v/>
      </c>
    </row>
    <row r="18" ht="16" customHeight="1">
      <c r="B18" s="70" t="n"/>
      <c r="C18" s="71" t="n"/>
      <c r="D18" s="4" t="inlineStr">
        <is>
          <t>c</t>
        </is>
      </c>
      <c r="E18" s="66" t="n">
        <v>87</v>
      </c>
      <c r="F18" s="37" t="n">
        <v>5.99</v>
      </c>
      <c r="G18" s="66" t="n">
        <v>0</v>
      </c>
      <c r="H18" s="37" t="n">
        <v>7</v>
      </c>
      <c r="I18" s="6" t="n">
        <v>0</v>
      </c>
      <c r="J18" s="74" t="n"/>
      <c r="K18" s="28">
        <f>ROUND((E18/100)*200,0)</f>
        <v/>
      </c>
      <c r="L18" s="16">
        <f>ROUND((F18/100)*200,0)</f>
        <v/>
      </c>
      <c r="M18" s="28">
        <f>ROUND((G18/100)*200,0)</f>
        <v/>
      </c>
      <c r="N18" s="16">
        <f>ROUND((H18/100)*200,0)</f>
        <v/>
      </c>
      <c r="O18" s="28">
        <f>ROUND((I18/100)*200,0)</f>
        <v/>
      </c>
    </row>
    <row r="19" ht="16" customHeight="1">
      <c r="B19" s="70" t="n"/>
      <c r="C19" s="72" t="n"/>
      <c r="D19" s="4" t="inlineStr">
        <is>
          <t>python</t>
        </is>
      </c>
      <c r="E19" s="66" t="n">
        <v>78.5</v>
      </c>
      <c r="F19" s="37" t="n">
        <v>0.5</v>
      </c>
      <c r="G19" s="66" t="n">
        <v>15.99</v>
      </c>
      <c r="H19" s="37" t="n">
        <v>5</v>
      </c>
      <c r="I19" s="6" t="n">
        <v>0</v>
      </c>
      <c r="J19" s="75" t="n"/>
      <c r="K19" s="29">
        <f>ROUND((E19/100)*200,0)</f>
        <v/>
      </c>
      <c r="L19" s="26">
        <f>ROUND((F19/100)*200,0)</f>
        <v/>
      </c>
      <c r="M19" s="29">
        <f>ROUND((G19/100)*200,0)</f>
        <v/>
      </c>
      <c r="N19" s="26">
        <f>ROUND((H19/100)*200,0)</f>
        <v/>
      </c>
      <c r="O19" s="29">
        <f>ROUND((I19/100)*200,0)</f>
        <v/>
      </c>
    </row>
    <row r="20" ht="16" customHeight="1">
      <c r="B20" s="70" t="n"/>
      <c r="C20" s="53" t="inlineStr">
        <is>
          <t>python</t>
        </is>
      </c>
      <c r="D20" s="4" t="inlineStr">
        <is>
          <t>c++</t>
        </is>
      </c>
      <c r="E20" s="9" t="n">
        <v>87</v>
      </c>
      <c r="F20" s="39" t="n">
        <v>4.99</v>
      </c>
      <c r="G20" s="9" t="n">
        <v>0</v>
      </c>
      <c r="H20" s="39" t="n">
        <v>7.5</v>
      </c>
      <c r="I20" s="10" t="n">
        <v>0.5</v>
      </c>
      <c r="J20" s="63">
        <f>ROUND(AVERAGE(E20:E23),1)</f>
        <v/>
      </c>
      <c r="K20" s="28">
        <f>ROUND((E20/100)*200,0)</f>
        <v/>
      </c>
      <c r="L20" s="16">
        <f>ROUND((F20/100)*200,0)</f>
        <v/>
      </c>
      <c r="M20" s="28">
        <f>ROUND((G20/100)*200,0)</f>
        <v/>
      </c>
      <c r="N20" s="16">
        <f>ROUND((H20/100)*200,0)</f>
        <v/>
      </c>
      <c r="O20" s="28">
        <f>ROUND((I20/100)*200,0)</f>
        <v/>
      </c>
    </row>
    <row r="21" ht="16" customHeight="1">
      <c r="B21" s="70" t="n"/>
      <c r="C21" s="71" t="n"/>
      <c r="D21" s="4" t="inlineStr">
        <is>
          <t>go</t>
        </is>
      </c>
      <c r="E21" s="66" t="n">
        <v>62</v>
      </c>
      <c r="F21" s="37" t="n">
        <v>22.49</v>
      </c>
      <c r="G21" s="66" t="n">
        <v>6.5</v>
      </c>
      <c r="H21" s="37" t="n">
        <v>8.5</v>
      </c>
      <c r="I21" s="6" t="n">
        <v>0.5</v>
      </c>
      <c r="J21" s="70" t="n"/>
      <c r="K21" s="28">
        <f>ROUND((E21/100)*200,0)</f>
        <v/>
      </c>
      <c r="L21" s="16">
        <f>ROUND((F21/100)*200,0)</f>
        <v/>
      </c>
      <c r="M21" s="28">
        <f>ROUND((G21/100)*200,0)</f>
        <v/>
      </c>
      <c r="N21" s="16">
        <f>ROUND((H21/100)*200,0)</f>
        <v/>
      </c>
      <c r="O21" s="28">
        <f>ROUND((I21/100)*200,0)</f>
        <v/>
      </c>
    </row>
    <row r="22" ht="16" customHeight="1">
      <c r="B22" s="70" t="n"/>
      <c r="C22" s="71" t="n"/>
      <c r="D22" s="4" t="inlineStr">
        <is>
          <t>java</t>
        </is>
      </c>
      <c r="E22" s="66" t="n">
        <v>85</v>
      </c>
      <c r="F22" s="37" t="n">
        <v>8.99</v>
      </c>
      <c r="G22" s="66" t="n">
        <v>2</v>
      </c>
      <c r="H22" s="37" t="n">
        <v>3.5</v>
      </c>
      <c r="I22" s="6" t="n">
        <v>0.5</v>
      </c>
      <c r="J22" s="70" t="n"/>
      <c r="K22" s="28">
        <f>ROUND((E22/100)*200,0)</f>
        <v/>
      </c>
      <c r="L22" s="16">
        <f>ROUND((F22/100)*200,0)</f>
        <v/>
      </c>
      <c r="M22" s="28">
        <f>ROUND((G22/100)*200,0)</f>
        <v/>
      </c>
      <c r="N22" s="16">
        <f>ROUND((H22/100)*200,0)</f>
        <v/>
      </c>
      <c r="O22" s="28">
        <f>ROUND((I22/100)*200,0)</f>
        <v/>
      </c>
    </row>
    <row r="23" ht="16" customHeight="1">
      <c r="B23" s="76" t="n"/>
      <c r="C23" s="72" t="n"/>
      <c r="D23" s="4" t="inlineStr">
        <is>
          <t>c</t>
        </is>
      </c>
      <c r="E23" s="66" t="n">
        <v>85.5</v>
      </c>
      <c r="F23" s="37" t="n">
        <v>5</v>
      </c>
      <c r="G23" s="66" t="n">
        <v>0</v>
      </c>
      <c r="H23" s="37" t="n">
        <v>9.5</v>
      </c>
      <c r="I23" s="6" t="n">
        <v>0</v>
      </c>
      <c r="J23" s="70" t="n"/>
      <c r="K23" s="28">
        <f>ROUND((E23/100)*200,0)</f>
        <v/>
      </c>
      <c r="L23" s="16">
        <f>ROUND((F23/100)*200,0)</f>
        <v/>
      </c>
      <c r="M23" s="28">
        <f>ROUND((G23/100)*200,0)</f>
        <v/>
      </c>
      <c r="N23" s="16">
        <f>ROUND((H23/100)*200,0)</f>
        <v/>
      </c>
      <c r="O23" s="28">
        <f>ROUND((I23/100)*200,0)</f>
        <v/>
      </c>
    </row>
    <row r="24" ht="16" customHeight="1">
      <c r="B24" s="50" t="inlineStr">
        <is>
          <t>avatar</t>
        </is>
      </c>
      <c r="C24" s="52" t="inlineStr">
        <is>
          <t>java</t>
        </is>
      </c>
      <c r="D24" s="4" t="inlineStr">
        <is>
          <t>c++</t>
        </is>
      </c>
      <c r="E24" s="9" t="n">
        <v>82.8</v>
      </c>
      <c r="F24" s="39" t="n">
        <v>6</v>
      </c>
      <c r="G24" s="9" t="n">
        <v>0.8</v>
      </c>
      <c r="H24" s="39" t="n">
        <v>10</v>
      </c>
      <c r="I24" s="10" t="n">
        <v>0.4</v>
      </c>
      <c r="J24" s="73">
        <f>ROUND(AVERAGE(E24:E27),1)</f>
        <v/>
      </c>
      <c r="K24" s="43">
        <f>ROUND((E24/100)*249,0)</f>
        <v/>
      </c>
      <c r="L24" s="27">
        <f>ROUND((F24/100)*249,0)</f>
        <v/>
      </c>
      <c r="M24" s="35">
        <f>ROUND((G24/100)*249,0)</f>
        <v/>
      </c>
      <c r="N24" s="27">
        <f>ROUND((H24/100)*249,0)</f>
        <v/>
      </c>
      <c r="O24" s="46">
        <f>ROUND((I24/100)*249,0)</f>
        <v/>
      </c>
    </row>
    <row r="25" ht="16" customHeight="1">
      <c r="B25" s="70" t="n"/>
      <c r="C25" s="71" t="n"/>
      <c r="D25" s="4" t="inlineStr">
        <is>
          <t>go</t>
        </is>
      </c>
      <c r="E25" s="66" t="n">
        <v>57</v>
      </c>
      <c r="F25" s="37" t="n">
        <v>31.72</v>
      </c>
      <c r="G25" s="66" t="n">
        <v>4.42</v>
      </c>
      <c r="H25" s="37" t="n">
        <v>6.43</v>
      </c>
      <c r="I25" s="6" t="n">
        <v>0.4</v>
      </c>
      <c r="J25" s="74" t="n"/>
      <c r="K25" s="41">
        <f>ROUND((E25/100)*249,0)</f>
        <v/>
      </c>
      <c r="L25" s="28">
        <f>ROUND((F25/100)*249,0)</f>
        <v/>
      </c>
      <c r="M25" s="16">
        <f>ROUND((G25/100)*249,0)</f>
        <v/>
      </c>
      <c r="N25" s="28">
        <f>ROUND((H25/100)*249,0)</f>
        <v/>
      </c>
      <c r="O25" s="42">
        <f>ROUND((I25/100)*249,0)</f>
        <v/>
      </c>
    </row>
    <row r="26" ht="16" customHeight="1">
      <c r="B26" s="70" t="n"/>
      <c r="C26" s="71" t="n"/>
      <c r="D26" s="4" t="inlineStr">
        <is>
          <t>c</t>
        </is>
      </c>
      <c r="E26" s="66" t="n">
        <v>70</v>
      </c>
      <c r="F26" s="37" t="n">
        <v>10.8</v>
      </c>
      <c r="G26" s="66" t="n">
        <v>0</v>
      </c>
      <c r="H26" s="37" t="n">
        <v>17.2</v>
      </c>
      <c r="I26" s="6" t="n">
        <v>2</v>
      </c>
      <c r="J26" s="74" t="n"/>
      <c r="K26" s="41">
        <f>ROUND((E26/100)*249,0)</f>
        <v/>
      </c>
      <c r="L26" s="28">
        <f>ROUND((F26/100)*249,0)</f>
        <v/>
      </c>
      <c r="M26" s="16">
        <f>ROUND((G26/100)*249,0)</f>
        <v/>
      </c>
      <c r="N26" s="28">
        <f>ROUND((H26/100)*249,0)</f>
        <v/>
      </c>
      <c r="O26" s="42">
        <f>ROUND((I26/100)*249,0)</f>
        <v/>
      </c>
    </row>
    <row r="27" ht="16" customHeight="1">
      <c r="B27" s="70" t="n"/>
      <c r="C27" s="72" t="n"/>
      <c r="D27" s="4" t="inlineStr">
        <is>
          <t>python</t>
        </is>
      </c>
      <c r="E27" s="66" t="n">
        <v>73.48999999999999</v>
      </c>
      <c r="F27" s="37" t="n">
        <v>6.82</v>
      </c>
      <c r="G27" s="66" t="n">
        <v>8.83</v>
      </c>
      <c r="H27" s="37" t="n">
        <v>9.23</v>
      </c>
      <c r="I27" s="6" t="n">
        <v>0.8</v>
      </c>
      <c r="J27" s="75" t="n"/>
      <c r="K27" s="44">
        <f>ROUND((E27/100)*249,0)</f>
        <v/>
      </c>
      <c r="L27" s="29">
        <f>ROUND((F27/100)*249,0)</f>
        <v/>
      </c>
      <c r="M27" s="26">
        <f>ROUND((G27/100)*249,0)</f>
        <v/>
      </c>
      <c r="N27" s="29">
        <f>ROUND((H27/100)*249,0)</f>
        <v/>
      </c>
      <c r="O27" s="45">
        <f>ROUND((I27/100)*249,0)</f>
        <v/>
      </c>
    </row>
    <row r="28" ht="16" customHeight="1">
      <c r="B28" s="70" t="n"/>
      <c r="C28" s="53" t="inlineStr">
        <is>
          <t>python</t>
        </is>
      </c>
      <c r="D28" s="4" t="inlineStr">
        <is>
          <t>c++</t>
        </is>
      </c>
      <c r="E28" s="9" t="n">
        <v>64.55</v>
      </c>
      <c r="F28" s="39" t="n">
        <v>6.37</v>
      </c>
      <c r="G28" s="9" t="n">
        <v>1.2</v>
      </c>
      <c r="H28" s="39" t="n">
        <v>25.5</v>
      </c>
      <c r="I28" s="10" t="n">
        <v>2.39</v>
      </c>
      <c r="J28" s="63">
        <f>ROUND(AVERAGE(E28:E31),1)</f>
        <v/>
      </c>
      <c r="K28" s="41">
        <f>ROUND((E28/100)*250,0)</f>
        <v/>
      </c>
      <c r="L28" s="41">
        <f>ROUND((F28/100)*250,0)</f>
        <v/>
      </c>
      <c r="M28" s="41">
        <f>ROUND((G28/100)*250,0)</f>
        <v/>
      </c>
      <c r="N28" s="28">
        <f>ROUND((H28/100)*250,0)</f>
        <v/>
      </c>
      <c r="O28" s="28">
        <f>ROUND((I28/100)*250,0)</f>
        <v/>
      </c>
    </row>
    <row r="29" ht="16" customHeight="1">
      <c r="B29" s="70" t="n"/>
      <c r="C29" s="71" t="n"/>
      <c r="D29" s="4" t="inlineStr">
        <is>
          <t>go</t>
        </is>
      </c>
      <c r="E29" s="66" t="n">
        <v>43</v>
      </c>
      <c r="F29" s="37" t="n">
        <v>25.9</v>
      </c>
      <c r="G29" s="66" t="n">
        <v>5.98</v>
      </c>
      <c r="H29" s="37" t="n">
        <v>23.9</v>
      </c>
      <c r="I29" s="6" t="n">
        <v>1.2</v>
      </c>
      <c r="J29" s="70" t="n"/>
      <c r="K29" s="41">
        <f>ROUND((E29/100)*250,0)</f>
        <v/>
      </c>
      <c r="L29" s="41">
        <f>ROUND((F29/100)*250,0)</f>
        <v/>
      </c>
      <c r="M29" s="41">
        <f>ROUND((G29/100)*250,0)</f>
        <v/>
      </c>
      <c r="N29" s="28">
        <f>ROUND((H29/100)*250,0)</f>
        <v/>
      </c>
      <c r="O29" s="28">
        <f>ROUND((I29/100)*250,0)</f>
        <v/>
      </c>
    </row>
    <row r="30" ht="16" customHeight="1">
      <c r="B30" s="70" t="n"/>
      <c r="C30" s="71" t="n"/>
      <c r="D30" s="4" t="inlineStr">
        <is>
          <t>java</t>
        </is>
      </c>
      <c r="E30" s="66" t="n">
        <v>56.4</v>
      </c>
      <c r="F30" s="37" t="n">
        <v>16</v>
      </c>
      <c r="G30" s="66" t="n">
        <v>11.2</v>
      </c>
      <c r="H30" s="37" t="n">
        <v>15.2</v>
      </c>
      <c r="I30" s="6" t="n">
        <v>1.2</v>
      </c>
      <c r="J30" s="70" t="n"/>
      <c r="K30" s="41">
        <f>ROUND((E30/100)*250,0)</f>
        <v/>
      </c>
      <c r="L30" s="41">
        <f>ROUND((F30/100)*250,0)</f>
        <v/>
      </c>
      <c r="M30" s="41">
        <f>ROUND((G30/100)*250,0)</f>
        <v/>
      </c>
      <c r="N30" s="28">
        <f>ROUND((H30/100)*250,0)</f>
        <v/>
      </c>
      <c r="O30" s="28">
        <f>ROUND((I30/100)*250,0)</f>
        <v/>
      </c>
    </row>
    <row r="31" ht="16" customHeight="1">
      <c r="B31" s="76" t="n"/>
      <c r="C31" s="72" t="n"/>
      <c r="D31" s="12" t="inlineStr">
        <is>
          <t>c</t>
        </is>
      </c>
      <c r="E31" s="66" t="n">
        <v>44.88</v>
      </c>
      <c r="F31" s="49" t="n">
        <v>11.42</v>
      </c>
      <c r="G31" s="66" t="n">
        <v>0.4</v>
      </c>
      <c r="H31" s="49" t="n">
        <v>42.12</v>
      </c>
      <c r="I31" s="6" t="n">
        <v>1.18</v>
      </c>
      <c r="J31" s="70" t="n"/>
      <c r="K31" s="28">
        <f>ROUND((E31/100)*250,0)</f>
        <v/>
      </c>
      <c r="L31" s="16">
        <f>ROUND((F31/100)*250,0)</f>
        <v/>
      </c>
      <c r="M31" s="28">
        <f>ROUND((G31/100)*250,0)</f>
        <v/>
      </c>
      <c r="N31" s="16">
        <f>ROUND((H31/100)*250,0)</f>
        <v/>
      </c>
      <c r="O31" s="28">
        <f>ROUND((I31/100)*250,0)</f>
        <v/>
      </c>
    </row>
    <row r="32" ht="16" customHeight="1">
      <c r="B32" s="13" t="inlineStr">
        <is>
          <t>evalplus</t>
        </is>
      </c>
      <c r="C32" s="53" t="inlineStr">
        <is>
          <t>python</t>
        </is>
      </c>
      <c r="D32" s="4" t="inlineStr">
        <is>
          <t>java</t>
        </is>
      </c>
      <c r="E32" s="4" t="n">
        <v>79.27</v>
      </c>
      <c r="F32" s="48" t="n">
        <v>1.22</v>
      </c>
      <c r="G32" s="4" t="n">
        <v>2.44</v>
      </c>
      <c r="H32" s="48" t="n">
        <v>16.46</v>
      </c>
      <c r="I32" s="4" t="n">
        <v>0.6</v>
      </c>
      <c r="J32" s="33">
        <f>ROUND(E32,1)</f>
        <v/>
      </c>
      <c r="K32" s="34">
        <f>ROUND((E32/100)*164,0)</f>
        <v/>
      </c>
      <c r="L32" s="31">
        <f>ROUND((F32/100)*164,0)</f>
        <v/>
      </c>
      <c r="M32" s="34">
        <f>ROUND((G32/100)*164,0)</f>
        <v/>
      </c>
      <c r="N32" s="31">
        <f>ROUND((H32/100)*164,0)</f>
        <v/>
      </c>
      <c r="O32" s="34">
        <f>ROUND((I32/100)*164,0)</f>
        <v/>
      </c>
    </row>
    <row r="33" ht="16" customHeight="1">
      <c r="B33" s="18" t="inlineStr">
        <is>
          <t>Commons-CLI</t>
        </is>
      </c>
      <c r="C33" s="25" t="inlineStr">
        <is>
          <t>Java</t>
        </is>
      </c>
      <c r="D33" s="14" t="inlineStr">
        <is>
          <t>python</t>
        </is>
      </c>
      <c r="E33" s="15" t="n">
        <v>13.6</v>
      </c>
      <c r="F33" s="37" t="n">
        <v>86.40000000000001</v>
      </c>
      <c r="G33" s="66" t="n">
        <v>0</v>
      </c>
      <c r="H33" s="37" t="n">
        <v>0</v>
      </c>
      <c r="I33" s="6" t="n">
        <v>0</v>
      </c>
      <c r="J33" s="16">
        <f>ROUND(E33,1)</f>
        <v/>
      </c>
      <c r="K33" s="28">
        <f>ROUND((E33/100)*22,0)</f>
        <v/>
      </c>
      <c r="L33" s="16">
        <f>ROUND((F33/100)*22,0)</f>
        <v/>
      </c>
      <c r="M33" s="28">
        <f>ROUND((G33/100)*22,0)</f>
        <v/>
      </c>
      <c r="N33" s="16">
        <f>ROUND((H33/100)*22,0)</f>
        <v/>
      </c>
      <c r="O33" s="28">
        <f>ROUND((I33/100)*22,0)</f>
        <v/>
      </c>
    </row>
    <row r="34" ht="16" customHeight="1">
      <c r="B34" s="30" t="inlineStr">
        <is>
          <t>Click</t>
        </is>
      </c>
      <c r="C34" s="47" t="inlineStr">
        <is>
          <t>python</t>
        </is>
      </c>
      <c r="D34" s="40" t="inlineStr">
        <is>
          <t>java</t>
        </is>
      </c>
      <c r="E34" s="66" t="n">
        <v>0</v>
      </c>
      <c r="F34" s="37" t="n">
        <v>100</v>
      </c>
      <c r="G34" s="66" t="n">
        <v>0</v>
      </c>
      <c r="H34" s="37" t="n">
        <v>0</v>
      </c>
      <c r="I34" s="6" t="n">
        <v>0</v>
      </c>
      <c r="J34" s="16">
        <f>ROUND(E34,1)</f>
        <v/>
      </c>
      <c r="K34" s="28">
        <f>ROUND((E34/100)*15,0)</f>
        <v/>
      </c>
      <c r="L34" s="16">
        <f>ROUND((F34/100)*15,0)</f>
        <v/>
      </c>
      <c r="M34" s="28">
        <f>ROUND((G34/100)*15,0)</f>
        <v/>
      </c>
      <c r="N34" s="16">
        <f>ROUND((H34/100)*15,0)</f>
        <v/>
      </c>
      <c r="O34" s="28">
        <f>ROUND((I34/100)*15,0)</f>
        <v/>
      </c>
    </row>
    <row r="35">
      <c r="B35" s="55" t="inlineStr">
        <is>
          <t>Total/Average</t>
        </is>
      </c>
      <c r="C35" s="77" t="n"/>
      <c r="D35" s="77" t="n"/>
      <c r="E35" s="34">
        <f>AVERAGE(AVERAGE(E4:E23),AVERAGE(E24:E31),E32,E33,E34)</f>
        <v/>
      </c>
      <c r="F35" s="34">
        <f>AVERAGE(AVERAGE(F4:F23),AVERAGE(F24:F31),F32,F33,F34)</f>
        <v/>
      </c>
      <c r="G35" s="31">
        <f>AVERAGE(AVERAGE(G4:G23),AVERAGE(G24:G31),G32,G33,G34)</f>
        <v/>
      </c>
      <c r="H35" s="34">
        <f>AVERAGE(AVERAGE(H4:H23),AVERAGE(H24:H31),H32,H33,H34)</f>
        <v/>
      </c>
      <c r="I35" s="31">
        <f>AVERAGE(AVERAGE(I4:I23),AVERAGE(I24:I31),I32,I33,I34)</f>
        <v/>
      </c>
      <c r="J35" s="34">
        <f>ROUND(AVERAGE(AVERAGE(J4:J23),AVERAGE(J24:J31),J32,J33,J34),1)</f>
        <v/>
      </c>
      <c r="K35" s="34">
        <f>ROUND(AVERAGE(K4:K34),0)</f>
        <v/>
      </c>
      <c r="L35" s="34">
        <f>ROUND(AVERAGE(L4:L34),0)</f>
        <v/>
      </c>
      <c r="M35" s="34">
        <f>ROUND(AVERAGE(M4:M34),0)</f>
        <v/>
      </c>
      <c r="N35" s="34">
        <f>ROUND(AVERAGE(N4:N34),0)</f>
        <v/>
      </c>
      <c r="O35" s="34">
        <f>ROUND(AVERAGE(O4:O34),0)</f>
        <v/>
      </c>
    </row>
  </sheetData>
  <mergeCells count="17">
    <mergeCell ref="C4:C7"/>
    <mergeCell ref="C28:C31"/>
    <mergeCell ref="J4:J7"/>
    <mergeCell ref="J12:J15"/>
    <mergeCell ref="J28:J31"/>
    <mergeCell ref="B4:B23"/>
    <mergeCell ref="C8:C11"/>
    <mergeCell ref="B35:D35"/>
    <mergeCell ref="C16:C19"/>
    <mergeCell ref="C20:C23"/>
    <mergeCell ref="C12:C15"/>
    <mergeCell ref="J8:J11"/>
    <mergeCell ref="J16:J19"/>
    <mergeCell ref="J20:J23"/>
    <mergeCell ref="B24:B31"/>
    <mergeCell ref="J24:J27"/>
    <mergeCell ref="C24:C27"/>
  </mergeCell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3:O42"/>
  <sheetViews>
    <sheetView workbookViewId="0">
      <selection activeCell="E39" sqref="E39"/>
    </sheetView>
  </sheetViews>
  <sheetFormatPr baseColWidth="10" defaultColWidth="8.83203125" defaultRowHeight="15"/>
  <cols>
    <col width="11.5" customWidth="1" min="2" max="2"/>
    <col width="16.5" customWidth="1" min="3" max="3"/>
    <col width="12.5" customWidth="1" min="4" max="4"/>
    <col width="18.6640625" customWidth="1" min="5" max="5"/>
    <col width="26.33203125" customWidth="1" min="6" max="6"/>
    <col width="24.1640625" customWidth="1" min="7" max="7"/>
    <col width="22.83203125" customWidth="1" min="8" max="8"/>
    <col width="21.5" customWidth="1" min="9" max="9"/>
    <col width="17" customWidth="1" min="10" max="10"/>
    <col width="16.5" customWidth="1" min="11" max="11"/>
    <col width="18.5" customWidth="1" min="12" max="12"/>
    <col width="17.5" customWidth="1" min="13" max="13"/>
    <col width="13.6640625" customWidth="1" min="14" max="14"/>
    <col width="19.83203125" customWidth="1" min="15" max="15"/>
  </cols>
  <sheetData>
    <row r="3" ht="16" customHeight="1">
      <c r="B3" s="1" t="inlineStr">
        <is>
          <t>dataset</t>
        </is>
      </c>
      <c r="C3" s="2" t="inlineStr">
        <is>
          <t>source</t>
        </is>
      </c>
      <c r="D3" s="2" t="inlineStr">
        <is>
          <t>target</t>
        </is>
      </c>
      <c r="E3" s="3" t="inlineStr">
        <is>
          <t>script accuracy %</t>
        </is>
      </c>
      <c r="F3" s="2" t="inlineStr">
        <is>
          <t>script compilation error %</t>
        </is>
      </c>
      <c r="G3" s="3" t="inlineStr">
        <is>
          <t>script runtime error %</t>
        </is>
      </c>
      <c r="H3" s="2" t="inlineStr">
        <is>
          <t>script wrong output %</t>
        </is>
      </c>
      <c r="I3" s="3" t="inlineStr">
        <is>
          <t>script infinite loop %</t>
        </is>
      </c>
      <c r="J3" s="17" t="inlineStr">
        <is>
          <t>avg source acc %</t>
        </is>
      </c>
      <c r="K3" s="18" t="inlineStr">
        <is>
          <t>num correct</t>
        </is>
      </c>
      <c r="L3" s="18" t="inlineStr">
        <is>
          <t>num compilation</t>
        </is>
      </c>
      <c r="M3" s="18" t="inlineStr">
        <is>
          <t>num runtime</t>
        </is>
      </c>
      <c r="N3" s="18" t="inlineStr">
        <is>
          <t>num incorrect</t>
        </is>
      </c>
      <c r="O3" s="18" t="inlineStr">
        <is>
          <t>num non-terminating</t>
        </is>
      </c>
    </row>
    <row r="4" ht="16" customHeight="1">
      <c r="B4" s="50" t="inlineStr">
        <is>
          <t>codenet</t>
        </is>
      </c>
      <c r="C4" s="57" t="inlineStr">
        <is>
          <t>c</t>
        </is>
      </c>
      <c r="D4" s="4" t="inlineStr">
        <is>
          <t>c++</t>
        </is>
      </c>
      <c r="E4" s="66" t="n">
        <v>45.5</v>
      </c>
      <c r="F4" s="36" t="n">
        <v>20</v>
      </c>
      <c r="G4" s="66" t="n">
        <v>0</v>
      </c>
      <c r="H4" s="36" t="n">
        <v>33</v>
      </c>
      <c r="I4" s="6" t="n">
        <v>1.5</v>
      </c>
      <c r="J4" s="63">
        <f>ROUND(AVERAGE(E4:E7),1)</f>
        <v/>
      </c>
      <c r="K4" s="27">
        <f>ROUND((E4/100)*200,0)</f>
        <v/>
      </c>
      <c r="L4" s="16">
        <f>ROUND((F4/100)*200,0)</f>
        <v/>
      </c>
      <c r="M4" s="27">
        <f>ROUND((G4/100)*200,0)</f>
        <v/>
      </c>
      <c r="N4" s="16">
        <f>ROUND((H4/100)*200,0)</f>
        <v/>
      </c>
      <c r="O4" s="27">
        <f>ROUND((I4/100)*200,0)</f>
        <v/>
      </c>
    </row>
    <row r="5" ht="16" customHeight="1">
      <c r="B5" s="70" t="n"/>
      <c r="C5" s="71" t="n"/>
      <c r="D5" s="4" t="inlineStr">
        <is>
          <t>go</t>
        </is>
      </c>
      <c r="E5" s="66" t="n">
        <v>5</v>
      </c>
      <c r="F5" s="37" t="n">
        <v>94</v>
      </c>
      <c r="G5" s="66" t="n">
        <v>0.5</v>
      </c>
      <c r="H5" s="37" t="n">
        <v>0.5</v>
      </c>
      <c r="I5" s="6" t="n">
        <v>0</v>
      </c>
      <c r="J5" s="70" t="n"/>
      <c r="K5" s="28">
        <f>ROUND((E5/100)*200,0)</f>
        <v/>
      </c>
      <c r="L5" s="16">
        <f>ROUND((F5/100)*200,0)</f>
        <v/>
      </c>
      <c r="M5" s="28">
        <f>ROUND((G5/100)*200,0)</f>
        <v/>
      </c>
      <c r="N5" s="16">
        <f>ROUND((H5/100)*200,0)</f>
        <v/>
      </c>
      <c r="O5" s="28">
        <f>ROUND((I5/100)*200,0)</f>
        <v/>
      </c>
    </row>
    <row r="6" ht="16" customHeight="1">
      <c r="B6" s="70" t="n"/>
      <c r="C6" s="71" t="n"/>
      <c r="D6" s="4" t="inlineStr">
        <is>
          <t>java</t>
        </is>
      </c>
      <c r="E6" s="66" t="n">
        <v>8.5</v>
      </c>
      <c r="F6" s="37" t="n">
        <v>83</v>
      </c>
      <c r="G6" s="66" t="n">
        <v>2</v>
      </c>
      <c r="H6" s="37" t="n">
        <v>6.5</v>
      </c>
      <c r="I6" s="6" t="n">
        <v>0</v>
      </c>
      <c r="J6" s="70" t="n"/>
      <c r="K6" s="28">
        <f>ROUND((E6/100)*200,0)</f>
        <v/>
      </c>
      <c r="L6" s="16">
        <f>ROUND((F6/100)*200,0)</f>
        <v/>
      </c>
      <c r="M6" s="28">
        <f>ROUND((G6/100)*200,0)</f>
        <v/>
      </c>
      <c r="N6" s="16">
        <f>ROUND((H6/100)*200,0)</f>
        <v/>
      </c>
      <c r="O6" s="28">
        <f>ROUND((I6/100)*200,0)</f>
        <v/>
      </c>
    </row>
    <row r="7" ht="16" customHeight="1">
      <c r="B7" s="70" t="n"/>
      <c r="C7" s="72" t="n"/>
      <c r="D7" s="4" t="inlineStr">
        <is>
          <t>python</t>
        </is>
      </c>
      <c r="E7" s="7" t="n">
        <v>0.5</v>
      </c>
      <c r="F7" s="38" t="n">
        <v>43.5</v>
      </c>
      <c r="G7" s="7" t="n">
        <v>16</v>
      </c>
      <c r="H7" s="38" t="n">
        <v>40</v>
      </c>
      <c r="I7" s="8" t="n">
        <v>0</v>
      </c>
      <c r="J7" s="70" t="n"/>
      <c r="K7" s="28">
        <f>ROUND((E7/100)*200,0)</f>
        <v/>
      </c>
      <c r="L7" s="16">
        <f>ROUND((F7/100)*200,0)</f>
        <v/>
      </c>
      <c r="M7" s="28">
        <f>ROUND((G7/100)*200,0)</f>
        <v/>
      </c>
      <c r="N7" s="16">
        <f>ROUND((H7/100)*200,0)</f>
        <v/>
      </c>
      <c r="O7" s="28">
        <f>ROUND((I7/100)*200,0)</f>
        <v/>
      </c>
    </row>
    <row r="8" ht="16" customHeight="1">
      <c r="B8" s="70" t="n"/>
      <c r="C8" s="58" t="inlineStr">
        <is>
          <t>c++</t>
        </is>
      </c>
      <c r="D8" s="4" t="inlineStr">
        <is>
          <t>c</t>
        </is>
      </c>
      <c r="E8" s="66" t="n">
        <v>25</v>
      </c>
      <c r="F8" s="37" t="n">
        <v>67.5</v>
      </c>
      <c r="G8" s="66" t="n">
        <v>0</v>
      </c>
      <c r="H8" s="37" t="n">
        <v>7.5</v>
      </c>
      <c r="I8" s="6" t="n">
        <v>0</v>
      </c>
      <c r="J8" s="73">
        <f>ROUND(AVERAGE(E8:E11),1)</f>
        <v/>
      </c>
      <c r="K8" s="27">
        <f>ROUND((E8/100)*200,0)</f>
        <v/>
      </c>
      <c r="L8" s="35">
        <f>ROUND((F8/100)*200,0)</f>
        <v/>
      </c>
      <c r="M8" s="27">
        <f>ROUND((G8/100)*200,0)</f>
        <v/>
      </c>
      <c r="N8" s="35">
        <f>ROUND((H8/100)*200,0)</f>
        <v/>
      </c>
      <c r="O8" s="27">
        <f>ROUND((I8/100)*200,0)</f>
        <v/>
      </c>
    </row>
    <row r="9" ht="16" customHeight="1">
      <c r="B9" s="70" t="n"/>
      <c r="C9" s="71" t="n"/>
      <c r="D9" s="4" t="inlineStr">
        <is>
          <t>go</t>
        </is>
      </c>
      <c r="E9" s="66" t="n">
        <v>0</v>
      </c>
      <c r="F9" s="37" t="n">
        <v>99.5</v>
      </c>
      <c r="G9" s="66" t="n">
        <v>0</v>
      </c>
      <c r="H9" s="37" t="n">
        <v>0.5</v>
      </c>
      <c r="I9" s="6" t="n">
        <v>0</v>
      </c>
      <c r="J9" s="74" t="n"/>
      <c r="K9" s="28">
        <f>ROUND((E9/100)*200,0)</f>
        <v/>
      </c>
      <c r="L9" s="16">
        <f>ROUND((F9/100)*200,0)</f>
        <v/>
      </c>
      <c r="M9" s="28">
        <f>ROUND((G9/100)*200,0)</f>
        <v/>
      </c>
      <c r="N9" s="16">
        <f>ROUND((H9/100)*200,0)</f>
        <v/>
      </c>
      <c r="O9" s="28">
        <f>ROUND((I9/100)*200,0)</f>
        <v/>
      </c>
    </row>
    <row r="10" ht="16" customHeight="1">
      <c r="B10" s="70" t="n"/>
      <c r="C10" s="71" t="n"/>
      <c r="D10" s="4" t="inlineStr">
        <is>
          <t>java</t>
        </is>
      </c>
      <c r="E10" s="66" t="n">
        <v>11</v>
      </c>
      <c r="F10" s="37" t="n">
        <v>77.5</v>
      </c>
      <c r="G10" s="66" t="n">
        <v>4</v>
      </c>
      <c r="H10" s="37" t="n">
        <v>7.5</v>
      </c>
      <c r="I10" s="6" t="n">
        <v>0</v>
      </c>
      <c r="J10" s="74" t="n"/>
      <c r="K10" s="28">
        <f>ROUND((E10/100)*200,0)</f>
        <v/>
      </c>
      <c r="L10" s="16">
        <f>ROUND((F10/100)*200,0)</f>
        <v/>
      </c>
      <c r="M10" s="28">
        <f>ROUND((G10/100)*200,0)</f>
        <v/>
      </c>
      <c r="N10" s="16">
        <f>ROUND((H10/100)*200,0)</f>
        <v/>
      </c>
      <c r="O10" s="28">
        <f>ROUND((I10/100)*200,0)</f>
        <v/>
      </c>
    </row>
    <row r="11" ht="16" customHeight="1">
      <c r="B11" s="70" t="n"/>
      <c r="C11" s="72" t="n"/>
      <c r="D11" s="4" t="inlineStr">
        <is>
          <t>python</t>
        </is>
      </c>
      <c r="E11" s="66" t="n">
        <v>2</v>
      </c>
      <c r="F11" s="37" t="n">
        <v>68.5</v>
      </c>
      <c r="G11" s="66" t="n">
        <v>11</v>
      </c>
      <c r="H11" s="37" t="n">
        <v>18.5</v>
      </c>
      <c r="I11" s="6" t="n">
        <v>0</v>
      </c>
      <c r="J11" s="75" t="n"/>
      <c r="K11" s="29">
        <f>ROUND((E11/100)*200,0)</f>
        <v/>
      </c>
      <c r="L11" s="26">
        <f>ROUND((F11/100)*200,0)</f>
        <v/>
      </c>
      <c r="M11" s="29">
        <f>ROUND((G11/100)*200,0)</f>
        <v/>
      </c>
      <c r="N11" s="26">
        <f>ROUND((H11/100)*200,0)</f>
        <v/>
      </c>
      <c r="O11" s="29">
        <f>ROUND((I11/100)*200,0)</f>
        <v/>
      </c>
    </row>
    <row r="12" ht="16" customHeight="1">
      <c r="B12" s="70" t="n"/>
      <c r="C12" s="59" t="inlineStr">
        <is>
          <t>go</t>
        </is>
      </c>
      <c r="D12" s="4" t="inlineStr">
        <is>
          <t>c++</t>
        </is>
      </c>
      <c r="E12" s="9" t="n">
        <v>31.5</v>
      </c>
      <c r="F12" s="39" t="n">
        <v>55</v>
      </c>
      <c r="G12" s="9" t="n">
        <v>0</v>
      </c>
      <c r="H12" s="39" t="n">
        <v>13.5</v>
      </c>
      <c r="I12" s="10" t="n">
        <v>0</v>
      </c>
      <c r="J12" s="65">
        <f>ROUND(AVERAGE(E12:E15),1)</f>
        <v/>
      </c>
      <c r="K12" s="28">
        <f>ROUND((E12/100)*200,0)</f>
        <v/>
      </c>
      <c r="L12" s="16">
        <f>ROUND((F12/100)*200,0)</f>
        <v/>
      </c>
      <c r="M12" s="28">
        <f>ROUND((G12/100)*200,0)</f>
        <v/>
      </c>
      <c r="N12" s="16">
        <f>ROUND((H12/100)*200,0)</f>
        <v/>
      </c>
      <c r="O12" s="28">
        <f>ROUND((I12/100)*200,0)</f>
        <v/>
      </c>
    </row>
    <row r="13" ht="16" customHeight="1">
      <c r="B13" s="70" t="n"/>
      <c r="C13" s="71" t="n"/>
      <c r="D13" s="4" t="inlineStr">
        <is>
          <t>c</t>
        </is>
      </c>
      <c r="E13" s="66" t="n">
        <v>19.5</v>
      </c>
      <c r="F13" s="37" t="n">
        <v>60.5</v>
      </c>
      <c r="G13" s="66" t="n">
        <v>0</v>
      </c>
      <c r="H13" s="37" t="n">
        <v>19.5</v>
      </c>
      <c r="I13" s="6" t="n">
        <v>0.5</v>
      </c>
      <c r="K13" s="28">
        <f>ROUND((E13/100)*200,0)</f>
        <v/>
      </c>
      <c r="L13" s="16">
        <f>ROUND((F13/100)*200,0)</f>
        <v/>
      </c>
      <c r="M13" s="28">
        <f>ROUND((G13/100)*200,0)</f>
        <v/>
      </c>
      <c r="N13" s="16">
        <f>ROUND((H13/100)*200,0)</f>
        <v/>
      </c>
      <c r="O13" s="28">
        <f>ROUND((I13/100)*200,0)</f>
        <v/>
      </c>
    </row>
    <row r="14" ht="16" customHeight="1">
      <c r="B14" s="70" t="n"/>
      <c r="C14" s="71" t="n"/>
      <c r="D14" s="4" t="inlineStr">
        <is>
          <t>java</t>
        </is>
      </c>
      <c r="E14" s="66" t="n">
        <v>14</v>
      </c>
      <c r="F14" s="37" t="n">
        <v>75</v>
      </c>
      <c r="G14" s="66" t="n">
        <v>7</v>
      </c>
      <c r="H14" s="37" t="n">
        <v>3.5</v>
      </c>
      <c r="I14" s="6" t="n">
        <v>0.5</v>
      </c>
      <c r="K14" s="28">
        <f>ROUND((E14/100)*200,0)</f>
        <v/>
      </c>
      <c r="L14" s="16">
        <f>ROUND((F14/100)*200,0)</f>
        <v/>
      </c>
      <c r="M14" s="28">
        <f>ROUND((G14/100)*200,0)</f>
        <v/>
      </c>
      <c r="N14" s="16">
        <f>ROUND((H14/100)*200,0)</f>
        <v/>
      </c>
      <c r="O14" s="28">
        <f>ROUND((I14/100)*200,0)</f>
        <v/>
      </c>
    </row>
    <row r="15" ht="16" customHeight="1">
      <c r="B15" s="70" t="n"/>
      <c r="C15" s="72" t="n"/>
      <c r="D15" s="4" t="inlineStr">
        <is>
          <t>python</t>
        </is>
      </c>
      <c r="E15" s="7" t="n">
        <v>2.5</v>
      </c>
      <c r="F15" s="38" t="n">
        <v>31</v>
      </c>
      <c r="G15" s="7" t="n">
        <v>7.5</v>
      </c>
      <c r="H15" s="38" t="n">
        <v>59</v>
      </c>
      <c r="I15" s="8" t="n">
        <v>0</v>
      </c>
      <c r="K15" s="28">
        <f>ROUND((E15/100)*200,0)</f>
        <v/>
      </c>
      <c r="L15" s="16">
        <f>ROUND((F15/100)*200,0)</f>
        <v/>
      </c>
      <c r="M15" s="28">
        <f>ROUND((G15/100)*200,0)</f>
        <v/>
      </c>
      <c r="N15" s="16">
        <f>ROUND((H15/100)*200,0)</f>
        <v/>
      </c>
      <c r="O15" s="28">
        <f>ROUND((I15/100)*200,0)</f>
        <v/>
      </c>
    </row>
    <row r="16" ht="16" customHeight="1">
      <c r="B16" s="70" t="n"/>
      <c r="C16" s="52" t="inlineStr">
        <is>
          <t>java</t>
        </is>
      </c>
      <c r="D16" s="4" t="inlineStr">
        <is>
          <t>c++</t>
        </is>
      </c>
      <c r="E16" s="66" t="n">
        <v>34</v>
      </c>
      <c r="F16" s="37" t="n">
        <v>47</v>
      </c>
      <c r="G16" s="66" t="n">
        <v>0</v>
      </c>
      <c r="H16" s="37" t="n">
        <v>18.5</v>
      </c>
      <c r="I16" s="6" t="n">
        <v>0.5</v>
      </c>
      <c r="J16" s="73">
        <f>ROUND(AVERAGE(E16:E19),1)</f>
        <v/>
      </c>
      <c r="K16" s="27">
        <f>ROUND((E16/100)*200,0)</f>
        <v/>
      </c>
      <c r="L16" s="35">
        <f>ROUND((F16/100)*200,0)</f>
        <v/>
      </c>
      <c r="M16" s="27">
        <f>ROUND((G16/100)*200,0)</f>
        <v/>
      </c>
      <c r="N16" s="35">
        <f>ROUND((H16/100)*200,0)</f>
        <v/>
      </c>
      <c r="O16" s="27">
        <f>ROUND((I16/100)*200,0)</f>
        <v/>
      </c>
    </row>
    <row r="17" ht="16" customHeight="1">
      <c r="B17" s="70" t="n"/>
      <c r="C17" s="71" t="n"/>
      <c r="D17" s="4" t="inlineStr">
        <is>
          <t>go</t>
        </is>
      </c>
      <c r="E17" s="66" t="n">
        <v>0</v>
      </c>
      <c r="F17" s="37" t="n">
        <v>100</v>
      </c>
      <c r="G17" s="66" t="n">
        <v>0</v>
      </c>
      <c r="H17" s="37" t="n">
        <v>0</v>
      </c>
      <c r="I17" s="6" t="n">
        <v>0</v>
      </c>
      <c r="J17" s="74" t="n"/>
      <c r="K17" s="28">
        <f>ROUND((E17/100)*200,0)</f>
        <v/>
      </c>
      <c r="L17" s="16">
        <f>ROUND((F17/100)*200,0)</f>
        <v/>
      </c>
      <c r="M17" s="28">
        <f>ROUND((G17/100)*200,0)</f>
        <v/>
      </c>
      <c r="N17" s="16">
        <f>ROUND((H17/100)*200,0)</f>
        <v/>
      </c>
      <c r="O17" s="28">
        <f>ROUND((I17/100)*200,0)</f>
        <v/>
      </c>
    </row>
    <row r="18" ht="16" customHeight="1">
      <c r="B18" s="70" t="n"/>
      <c r="C18" s="71" t="n"/>
      <c r="D18" s="4" t="inlineStr">
        <is>
          <t>c</t>
        </is>
      </c>
      <c r="E18" s="66" t="n">
        <v>20</v>
      </c>
      <c r="F18" s="37" t="n">
        <v>58.5</v>
      </c>
      <c r="G18" s="66" t="n">
        <v>0.5</v>
      </c>
      <c r="H18" s="37" t="n">
        <v>20.5</v>
      </c>
      <c r="I18" s="6" t="n">
        <v>0.5</v>
      </c>
      <c r="J18" s="74" t="n"/>
      <c r="K18" s="28">
        <f>ROUND((E18/100)*200,0)</f>
        <v/>
      </c>
      <c r="L18" s="16">
        <f>ROUND((F18/100)*200,0)</f>
        <v/>
      </c>
      <c r="M18" s="28">
        <f>ROUND((G18/100)*200,0)</f>
        <v/>
      </c>
      <c r="N18" s="16">
        <f>ROUND((H18/100)*200,0)</f>
        <v/>
      </c>
      <c r="O18" s="28">
        <f>ROUND((I18/100)*200,0)</f>
        <v/>
      </c>
    </row>
    <row r="19" ht="16" customHeight="1">
      <c r="B19" s="70" t="n"/>
      <c r="C19" s="72" t="n"/>
      <c r="D19" s="4" t="inlineStr">
        <is>
          <t>python</t>
        </is>
      </c>
      <c r="E19" s="66" t="n">
        <v>1.5</v>
      </c>
      <c r="F19" s="37" t="n">
        <v>29</v>
      </c>
      <c r="G19" s="66" t="n">
        <v>36.5</v>
      </c>
      <c r="H19" s="37" t="n">
        <v>32.5</v>
      </c>
      <c r="I19" s="6" t="n">
        <v>0.5</v>
      </c>
      <c r="J19" s="75" t="n"/>
      <c r="K19" s="29">
        <f>ROUND((E19/100)*200,0)</f>
        <v/>
      </c>
      <c r="L19" s="26">
        <f>ROUND((F19/100)*200,0)</f>
        <v/>
      </c>
      <c r="M19" s="29">
        <f>ROUND((G19/100)*200,0)</f>
        <v/>
      </c>
      <c r="N19" s="26">
        <f>ROUND((H19/100)*200,0)</f>
        <v/>
      </c>
      <c r="O19" s="29">
        <f>ROUND((I19/100)*200,0)</f>
        <v/>
      </c>
    </row>
    <row r="20" ht="16" customHeight="1">
      <c r="B20" s="70" t="n"/>
      <c r="C20" s="53" t="inlineStr">
        <is>
          <t>python</t>
        </is>
      </c>
      <c r="D20" s="4" t="inlineStr">
        <is>
          <t>c++</t>
        </is>
      </c>
      <c r="E20" s="9" t="n">
        <v>24</v>
      </c>
      <c r="F20" s="39" t="n">
        <v>55</v>
      </c>
      <c r="G20" s="9" t="n">
        <v>0.5</v>
      </c>
      <c r="H20" s="39" t="n">
        <v>20.5</v>
      </c>
      <c r="I20" s="10" t="n">
        <v>0</v>
      </c>
      <c r="J20" s="63">
        <f>ROUND(AVERAGE(E20:E23),1)</f>
        <v/>
      </c>
      <c r="K20" s="28">
        <f>ROUND((E20/100)*200,0)</f>
        <v/>
      </c>
      <c r="L20" s="16">
        <f>ROUND((F20/100)*200,0)</f>
        <v/>
      </c>
      <c r="M20" s="28">
        <f>ROUND((G20/100)*200,0)</f>
        <v/>
      </c>
      <c r="N20" s="16">
        <f>ROUND((H20/100)*200,0)</f>
        <v/>
      </c>
      <c r="O20" s="28">
        <f>ROUND((I20/100)*200,0)</f>
        <v/>
      </c>
    </row>
    <row r="21" ht="16" customHeight="1">
      <c r="B21" s="70" t="n"/>
      <c r="C21" s="71" t="n"/>
      <c r="D21" s="4" t="inlineStr">
        <is>
          <t>go</t>
        </is>
      </c>
      <c r="E21" s="66" t="n">
        <v>0</v>
      </c>
      <c r="F21" s="37" t="n">
        <v>99.5</v>
      </c>
      <c r="G21" s="66" t="n">
        <v>0</v>
      </c>
      <c r="H21" s="37" t="n">
        <v>0.5</v>
      </c>
      <c r="I21" s="6" t="n">
        <v>0</v>
      </c>
      <c r="J21" s="70" t="n"/>
      <c r="K21" s="28">
        <f>ROUND((E21/100)*200,0)</f>
        <v/>
      </c>
      <c r="L21" s="16">
        <f>ROUND((F21/100)*200,0)</f>
        <v/>
      </c>
      <c r="M21" s="28">
        <f>ROUND((G21/100)*200,0)</f>
        <v/>
      </c>
      <c r="N21" s="16">
        <f>ROUND((H21/100)*200,0)</f>
        <v/>
      </c>
      <c r="O21" s="28">
        <f>ROUND((I21/100)*200,0)</f>
        <v/>
      </c>
    </row>
    <row r="22" ht="16" customHeight="1">
      <c r="B22" s="70" t="n"/>
      <c r="C22" s="71" t="n"/>
      <c r="D22" s="4" t="inlineStr">
        <is>
          <t>java</t>
        </is>
      </c>
      <c r="E22" s="66" t="n">
        <v>5</v>
      </c>
      <c r="F22" s="37" t="n">
        <v>86</v>
      </c>
      <c r="G22" s="66" t="n">
        <v>8</v>
      </c>
      <c r="H22" s="37" t="n">
        <v>1</v>
      </c>
      <c r="I22" s="6" t="n">
        <v>0</v>
      </c>
      <c r="J22" s="70" t="n"/>
      <c r="K22" s="28">
        <f>ROUND((E22/100)*200,0)</f>
        <v/>
      </c>
      <c r="L22" s="16">
        <f>ROUND((F22/100)*200,0)</f>
        <v/>
      </c>
      <c r="M22" s="28">
        <f>ROUND((G22/100)*200,0)</f>
        <v/>
      </c>
      <c r="N22" s="16">
        <f>ROUND((H22/100)*200,0)</f>
        <v/>
      </c>
      <c r="O22" s="28">
        <f>ROUND((I22/100)*200,0)</f>
        <v/>
      </c>
    </row>
    <row r="23" ht="16" customHeight="1">
      <c r="B23" s="76" t="n"/>
      <c r="C23" s="72" t="n"/>
      <c r="D23" s="4" t="inlineStr">
        <is>
          <t>c</t>
        </is>
      </c>
      <c r="E23" s="66" t="n">
        <v>15</v>
      </c>
      <c r="F23" s="37" t="n">
        <v>59</v>
      </c>
      <c r="G23" s="66" t="n">
        <v>1.5</v>
      </c>
      <c r="H23" s="37" t="n">
        <v>24.5</v>
      </c>
      <c r="I23" s="6" t="n">
        <v>0</v>
      </c>
      <c r="J23" s="70" t="n"/>
      <c r="K23" s="28">
        <f>ROUND((E23/100)*200,0)</f>
        <v/>
      </c>
      <c r="L23" s="16">
        <f>ROUND((F23/100)*200,0)</f>
        <v/>
      </c>
      <c r="M23" s="28">
        <f>ROUND((G23/100)*200,0)</f>
        <v/>
      </c>
      <c r="N23" s="16">
        <f>ROUND((H23/100)*200,0)</f>
        <v/>
      </c>
      <c r="O23" s="28">
        <f>ROUND((I23/100)*200,0)</f>
        <v/>
      </c>
    </row>
    <row r="24" ht="16" customHeight="1">
      <c r="B24" s="50" t="inlineStr">
        <is>
          <t>avatar</t>
        </is>
      </c>
      <c r="C24" s="52" t="inlineStr">
        <is>
          <t>java</t>
        </is>
      </c>
      <c r="D24" s="4" t="inlineStr">
        <is>
          <t>c++</t>
        </is>
      </c>
      <c r="E24" s="9" t="n">
        <v>7.17</v>
      </c>
      <c r="F24" s="39" t="n">
        <v>84.45999999999999</v>
      </c>
      <c r="G24" s="9" t="n">
        <v>0</v>
      </c>
      <c r="H24" s="39" t="n">
        <v>7.96</v>
      </c>
      <c r="I24" s="10" t="n">
        <v>0.39</v>
      </c>
      <c r="J24" s="73">
        <f>ROUND(AVERAGE(E24:E27),1)</f>
        <v/>
      </c>
      <c r="K24" s="43">
        <f>ROUND((E24/100)*249,0)</f>
        <v/>
      </c>
      <c r="L24" s="27">
        <f>ROUND((F24/100)*249,0)</f>
        <v/>
      </c>
      <c r="M24" s="35">
        <f>ROUND((G24/100)*249,0)</f>
        <v/>
      </c>
      <c r="N24" s="27">
        <f>ROUND((H24/100)*249,0)</f>
        <v/>
      </c>
      <c r="O24" s="46">
        <f>ROUND((I24/100)*249,0)</f>
        <v/>
      </c>
    </row>
    <row r="25" ht="16" customHeight="1">
      <c r="B25" s="70" t="n"/>
      <c r="C25" s="71" t="n"/>
      <c r="D25" s="4" t="inlineStr">
        <is>
          <t>go</t>
        </is>
      </c>
      <c r="E25" s="66" t="n">
        <v>0</v>
      </c>
      <c r="F25" s="37" t="n">
        <v>98.8</v>
      </c>
      <c r="G25" s="66" t="n">
        <v>0.8</v>
      </c>
      <c r="H25" s="37" t="n">
        <v>0.4</v>
      </c>
      <c r="I25" s="6" t="n">
        <v>0</v>
      </c>
      <c r="J25" s="74" t="n"/>
      <c r="K25" s="41">
        <f>ROUND((E25/100)*249,0)</f>
        <v/>
      </c>
      <c r="L25" s="28">
        <f>ROUND((F25/100)*249,0)</f>
        <v/>
      </c>
      <c r="M25" s="16">
        <f>ROUND((G25/100)*249,0)</f>
        <v/>
      </c>
      <c r="N25" s="28">
        <f>ROUND((H25/100)*249,0)</f>
        <v/>
      </c>
      <c r="O25" s="42">
        <f>ROUND((I25/100)*249,0)</f>
        <v/>
      </c>
    </row>
    <row r="26" ht="16" customHeight="1">
      <c r="B26" s="70" t="n"/>
      <c r="C26" s="71" t="n"/>
      <c r="D26" s="4" t="inlineStr">
        <is>
          <t>c</t>
        </is>
      </c>
      <c r="E26" s="66" t="n">
        <v>0</v>
      </c>
      <c r="F26" s="37" t="n">
        <v>100</v>
      </c>
      <c r="G26" s="66" t="n">
        <v>0</v>
      </c>
      <c r="H26" s="37" t="n">
        <v>0</v>
      </c>
      <c r="I26" s="6" t="n">
        <v>0</v>
      </c>
      <c r="J26" s="74" t="n"/>
      <c r="K26" s="41">
        <f>ROUND((E26/100)*249,0)</f>
        <v/>
      </c>
      <c r="L26" s="28">
        <f>ROUND((F26/100)*249,0)</f>
        <v/>
      </c>
      <c r="M26" s="16">
        <f>ROUND((G26/100)*249,0)</f>
        <v/>
      </c>
      <c r="N26" s="28">
        <f>ROUND((H26/100)*249,0)</f>
        <v/>
      </c>
      <c r="O26" s="42">
        <f>ROUND((I26/100)*249,0)</f>
        <v/>
      </c>
    </row>
    <row r="27" ht="16" customHeight="1">
      <c r="B27" s="70" t="n"/>
      <c r="C27" s="72" t="n"/>
      <c r="D27" s="4" t="inlineStr">
        <is>
          <t>python</t>
        </is>
      </c>
      <c r="E27" s="66" t="n">
        <v>0</v>
      </c>
      <c r="F27" s="37" t="n">
        <v>59.2</v>
      </c>
      <c r="G27" s="66" t="n">
        <v>10.4</v>
      </c>
      <c r="H27" s="37" t="n">
        <v>30</v>
      </c>
      <c r="I27" s="6" t="n">
        <v>0.4</v>
      </c>
      <c r="J27" s="75" t="n"/>
      <c r="K27" s="44">
        <f>ROUND((E27/100)*249,0)</f>
        <v/>
      </c>
      <c r="L27" s="29">
        <f>ROUND((F27/100)*249,0)</f>
        <v/>
      </c>
      <c r="M27" s="26">
        <f>ROUND((G27/100)*249,0)</f>
        <v/>
      </c>
      <c r="N27" s="29">
        <f>ROUND((H27/100)*249,0)</f>
        <v/>
      </c>
      <c r="O27" s="45">
        <f>ROUND((I27/100)*249,0)</f>
        <v/>
      </c>
    </row>
    <row r="28" ht="16" customHeight="1">
      <c r="B28" s="70" t="n"/>
      <c r="C28" s="53" t="inlineStr">
        <is>
          <t>python</t>
        </is>
      </c>
      <c r="D28" s="4" t="inlineStr">
        <is>
          <t>c++</t>
        </is>
      </c>
      <c r="E28" s="9" t="n">
        <v>9.52</v>
      </c>
      <c r="F28" s="39" t="n">
        <v>66.27</v>
      </c>
      <c r="G28" s="9" t="n">
        <v>0.29</v>
      </c>
      <c r="H28" s="39" t="n">
        <v>22.62</v>
      </c>
      <c r="I28" s="10" t="n">
        <v>1.19</v>
      </c>
      <c r="J28" s="63">
        <f>ROUND(AVERAGE(E28:E31),1)</f>
        <v/>
      </c>
      <c r="K28" s="41">
        <f>ROUND((E28/100)*250,0)</f>
        <v/>
      </c>
      <c r="L28" s="41">
        <f>ROUND((F28/100)*250,0)</f>
        <v/>
      </c>
      <c r="M28" s="41">
        <f>ROUND((G28/100)*250,0)</f>
        <v/>
      </c>
      <c r="N28" s="28">
        <f>ROUND((H28/100)*250,0)</f>
        <v/>
      </c>
      <c r="O28" s="28">
        <f>ROUND((I28/100)*250,0)</f>
        <v/>
      </c>
    </row>
    <row r="29" ht="16" customHeight="1">
      <c r="B29" s="70" t="n"/>
      <c r="C29" s="71" t="n"/>
      <c r="D29" s="4" t="inlineStr">
        <is>
          <t>go</t>
        </is>
      </c>
      <c r="E29" s="66" t="n">
        <v>0</v>
      </c>
      <c r="F29" s="37" t="n">
        <v>99.2</v>
      </c>
      <c r="G29" s="66" t="n">
        <v>0</v>
      </c>
      <c r="H29" s="37" t="n">
        <v>0.8</v>
      </c>
      <c r="I29" s="6" t="n">
        <v>0</v>
      </c>
      <c r="J29" s="70" t="n"/>
      <c r="K29" s="41">
        <f>ROUND((E29/100)*250,0)</f>
        <v/>
      </c>
      <c r="L29" s="41">
        <f>ROUND((F29/100)*250,0)</f>
        <v/>
      </c>
      <c r="M29" s="41">
        <f>ROUND((G29/100)*250,0)</f>
        <v/>
      </c>
      <c r="N29" s="28">
        <f>ROUND((H29/100)*250,0)</f>
        <v/>
      </c>
      <c r="O29" s="28">
        <f>ROUND((I29/100)*250,0)</f>
        <v/>
      </c>
    </row>
    <row r="30" ht="16" customHeight="1">
      <c r="B30" s="70" t="n"/>
      <c r="C30" s="71" t="n"/>
      <c r="D30" s="4" t="inlineStr">
        <is>
          <t>java</t>
        </is>
      </c>
      <c r="E30" s="66" t="n">
        <v>6.77</v>
      </c>
      <c r="F30" s="37" t="n">
        <v>82.47</v>
      </c>
      <c r="G30" s="66" t="n">
        <v>5.98</v>
      </c>
      <c r="H30" s="37" t="n">
        <v>4.78</v>
      </c>
      <c r="I30" s="6" t="n">
        <v>0</v>
      </c>
      <c r="J30" s="70" t="n"/>
      <c r="K30" s="41">
        <f>ROUND((E30/100)*250,0)</f>
        <v/>
      </c>
      <c r="L30" s="41">
        <f>ROUND((F30/100)*250,0)</f>
        <v/>
      </c>
      <c r="M30" s="41">
        <f>ROUND((G30/100)*250,0)</f>
        <v/>
      </c>
      <c r="N30" s="28">
        <f>ROUND((H30/100)*250,0)</f>
        <v/>
      </c>
      <c r="O30" s="28">
        <f>ROUND((I30/100)*250,0)</f>
        <v/>
      </c>
    </row>
    <row r="31" ht="16" customHeight="1">
      <c r="B31" s="76" t="n"/>
      <c r="C31" s="72" t="n"/>
      <c r="D31" s="12" t="inlineStr">
        <is>
          <t>c</t>
        </is>
      </c>
      <c r="E31" s="66" t="n">
        <v>2.37</v>
      </c>
      <c r="F31" s="49" t="n">
        <v>75.89</v>
      </c>
      <c r="G31" s="66" t="n">
        <v>0.39</v>
      </c>
      <c r="H31" s="49" t="n">
        <v>19.76</v>
      </c>
      <c r="I31" s="6" t="n">
        <v>1.58</v>
      </c>
      <c r="J31" s="70" t="n"/>
      <c r="K31" s="28">
        <f>ROUND((E31/100)*250,0)</f>
        <v/>
      </c>
      <c r="L31" s="16">
        <f>ROUND((F31/100)*250,0)</f>
        <v/>
      </c>
      <c r="M31" s="28">
        <f>ROUND((G31/100)*250,0)</f>
        <v/>
      </c>
      <c r="N31" s="16">
        <f>ROUND((H31/100)*250,0)</f>
        <v/>
      </c>
      <c r="O31" s="28">
        <f>ROUND((I31/100)*250,0)</f>
        <v/>
      </c>
    </row>
    <row r="32" ht="16" customHeight="1">
      <c r="B32" s="13" t="inlineStr">
        <is>
          <t>evalplus</t>
        </is>
      </c>
      <c r="C32" s="53" t="inlineStr">
        <is>
          <t>python</t>
        </is>
      </c>
      <c r="D32" s="4" t="inlineStr">
        <is>
          <t>java</t>
        </is>
      </c>
      <c r="E32" s="4" t="n">
        <v>1.22</v>
      </c>
      <c r="F32" s="48" t="n">
        <v>96.34</v>
      </c>
      <c r="G32" s="4" t="n">
        <v>0</v>
      </c>
      <c r="H32" s="48" t="n">
        <v>2.44</v>
      </c>
      <c r="I32" s="4" t="n">
        <v>0</v>
      </c>
      <c r="J32" s="33">
        <f>ROUND(E32,1)</f>
        <v/>
      </c>
      <c r="K32" s="34">
        <f>ROUND((E32/100)*164,0)</f>
        <v/>
      </c>
      <c r="L32" s="31">
        <f>ROUND((F32/100)*164,0)</f>
        <v/>
      </c>
      <c r="M32" s="34">
        <f>ROUND((G32/100)*164,0)</f>
        <v/>
      </c>
      <c r="N32" s="31">
        <f>ROUND((H32/100)*164,0)</f>
        <v/>
      </c>
      <c r="O32" s="34">
        <f>ROUND((I32/100)*164,0)</f>
        <v/>
      </c>
    </row>
    <row r="33" ht="16" customHeight="1">
      <c r="B33" s="18" t="inlineStr">
        <is>
          <t>Commons-CLI</t>
        </is>
      </c>
      <c r="C33" s="25" t="inlineStr">
        <is>
          <t>Java</t>
        </is>
      </c>
      <c r="D33" s="14" t="inlineStr">
        <is>
          <t>python</t>
        </is>
      </c>
      <c r="E33" s="15" t="n">
        <v>0</v>
      </c>
      <c r="F33" s="37" t="n">
        <v>100</v>
      </c>
      <c r="G33" s="66" t="n">
        <v>0</v>
      </c>
      <c r="H33" s="37" t="n">
        <v>0</v>
      </c>
      <c r="I33" s="6" t="n">
        <v>0</v>
      </c>
      <c r="J33" s="16">
        <f>ROUND(E33,1)</f>
        <v/>
      </c>
      <c r="K33" s="28">
        <f>ROUND((E33/100)*22,0)</f>
        <v/>
      </c>
      <c r="L33" s="16">
        <f>ROUND((F33/100)*22,0)</f>
        <v/>
      </c>
      <c r="M33" s="28">
        <f>ROUND((G33/100)*22,0)</f>
        <v/>
      </c>
      <c r="N33" s="16">
        <f>ROUND((H33/100)*22,0)</f>
        <v/>
      </c>
      <c r="O33" s="28">
        <f>ROUND((I33/100)*22,0)</f>
        <v/>
      </c>
    </row>
    <row r="34" ht="16" customHeight="1">
      <c r="B34" s="30" t="inlineStr">
        <is>
          <t>Click</t>
        </is>
      </c>
      <c r="C34" s="47" t="inlineStr">
        <is>
          <t>python</t>
        </is>
      </c>
      <c r="D34" s="40" t="inlineStr">
        <is>
          <t>java</t>
        </is>
      </c>
      <c r="E34" s="66" t="n">
        <v>0</v>
      </c>
      <c r="F34" s="37" t="n">
        <v>100</v>
      </c>
      <c r="G34" s="66" t="n">
        <v>0</v>
      </c>
      <c r="H34" s="37" t="n">
        <v>0</v>
      </c>
      <c r="I34" s="6" t="n">
        <v>0</v>
      </c>
      <c r="J34" s="16">
        <f>ROUND(E34,1)</f>
        <v/>
      </c>
      <c r="K34" s="28">
        <f>ROUND((E34/100)*15,0)</f>
        <v/>
      </c>
      <c r="L34" s="16">
        <f>ROUND((F34/100)*15,0)</f>
        <v/>
      </c>
      <c r="M34" s="28">
        <f>ROUND((G34/100)*15,0)</f>
        <v/>
      </c>
      <c r="N34" s="16">
        <f>ROUND((H34/100)*15,0)</f>
        <v/>
      </c>
      <c r="O34" s="28">
        <f>ROUND((I34/100)*15,0)</f>
        <v/>
      </c>
    </row>
    <row r="35">
      <c r="B35" s="55" t="inlineStr">
        <is>
          <t>Total/Average</t>
        </is>
      </c>
      <c r="C35" s="77" t="n"/>
      <c r="D35" s="77" t="n"/>
      <c r="E35" s="34">
        <f>AVERAGE(AVERAGE(E4:E23),AVERAGE(E24:E31),E32,E33,E34)</f>
        <v/>
      </c>
      <c r="F35" s="34">
        <f>AVERAGE(AVERAGE(F4:F23),AVERAGE(F24:F31),F32,F33,F34)</f>
        <v/>
      </c>
      <c r="G35" s="31">
        <f>AVERAGE(AVERAGE(G4:G23),AVERAGE(G24:G31),G32,G33,G34)</f>
        <v/>
      </c>
      <c r="H35" s="34">
        <f>AVERAGE(AVERAGE(H4:H23),AVERAGE(H24:H31),H32,H33,H34)</f>
        <v/>
      </c>
      <c r="I35" s="31">
        <f>AVERAGE(AVERAGE(I4:I23),AVERAGE(I24:I31),I32,I33,I34)</f>
        <v/>
      </c>
      <c r="J35" s="34">
        <f>ROUND(AVERAGE(AVERAGE(J4:J23),AVERAGE(J24:J31),J32,J33,J34),1)</f>
        <v/>
      </c>
      <c r="K35" s="34">
        <f>ROUND(AVERAGE(K4:K34),0)</f>
        <v/>
      </c>
      <c r="L35" s="34">
        <f>ROUND(AVERAGE(L4:L34),0)</f>
        <v/>
      </c>
      <c r="M35" s="34">
        <f>ROUND(AVERAGE(M4:M34),0)</f>
        <v/>
      </c>
      <c r="N35" s="34">
        <f>ROUND(AVERAGE(N4:N34),0)</f>
        <v/>
      </c>
      <c r="O35" s="34">
        <f>ROUND(AVERAGE(O4:O34),0)</f>
        <v/>
      </c>
    </row>
    <row r="37">
      <c r="B37" s="1" t="inlineStr">
        <is>
          <t>Llama 2 (nosso subconjunto de 100 arquivos)</t>
        </is>
      </c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</row>
    <row r="38">
      <c r="B38" s="50" t="inlineStr">
        <is>
          <t>codenet</t>
        </is>
      </c>
      <c r="C38" s="52" t="inlineStr">
        <is>
          <t>python</t>
        </is>
      </c>
      <c r="D38" s="4" t="inlineStr">
        <is>
          <t>java</t>
        </is>
      </c>
      <c r="E38" s="9" t="n">
        <v>6</v>
      </c>
      <c r="F38" s="9" t="n">
        <v>86</v>
      </c>
      <c r="G38" s="9" t="n">
        <v>7</v>
      </c>
      <c r="H38" s="9" t="n">
        <v>1</v>
      </c>
      <c r="I38" s="9" t="n">
        <v>0</v>
      </c>
      <c r="J38" s="9">
        <f>ROUND(E38,1)</f>
        <v/>
      </c>
      <c r="K38" s="9">
        <f>ROUND((E38/100)*100,0)</f>
        <v/>
      </c>
      <c r="L38" s="9">
        <f>ROUND((F38/100)*100,0)</f>
        <v/>
      </c>
      <c r="M38" s="9">
        <f>ROUND((G38/100)*100,0)</f>
        <v/>
      </c>
      <c r="N38" s="9">
        <f>ROUND((H38/100)*100,0)</f>
        <v/>
      </c>
      <c r="O38" s="9">
        <f>ROUND((I38/100)*100,0)</f>
        <v/>
      </c>
    </row>
    <row r="39">
      <c r="B39" s="4" t="n"/>
      <c r="C39" s="52" t="inlineStr">
        <is>
          <t>java</t>
        </is>
      </c>
      <c r="D39" s="4" t="inlineStr">
        <is>
          <t>python</t>
        </is>
      </c>
      <c r="E39" s="9" t="n">
        <v>0</v>
      </c>
      <c r="F39" s="9" t="n">
        <v>33</v>
      </c>
      <c r="G39" s="9" t="n">
        <v>31</v>
      </c>
      <c r="H39" s="9" t="n">
        <v>35</v>
      </c>
      <c r="I39" s="9" t="n">
        <v>1</v>
      </c>
      <c r="J39" s="9">
        <f>ROUND(E39,1)</f>
        <v/>
      </c>
      <c r="K39" s="9">
        <f>ROUND((E39/100)*100,0)</f>
        <v/>
      </c>
      <c r="L39" s="9">
        <f>ROUND((F39/100)*100,0)</f>
        <v/>
      </c>
      <c r="M39" s="9">
        <f>ROUND((G39/100)*100,0)</f>
        <v/>
      </c>
      <c r="N39" s="9">
        <f>ROUND((H39/100)*100,0)</f>
        <v/>
      </c>
      <c r="O39" s="9">
        <f>ROUND((I39/100)*100,0)</f>
        <v/>
      </c>
    </row>
    <row r="40">
      <c r="B40" s="50" t="inlineStr">
        <is>
          <t>avatar</t>
        </is>
      </c>
      <c r="C40" s="52" t="inlineStr">
        <is>
          <t>python</t>
        </is>
      </c>
      <c r="D40" s="4" t="inlineStr">
        <is>
          <t>java</t>
        </is>
      </c>
      <c r="E40" s="9" t="n">
        <v>12</v>
      </c>
      <c r="F40" s="9" t="n">
        <v>78</v>
      </c>
      <c r="G40" s="9" t="n">
        <v>7</v>
      </c>
      <c r="H40" s="9" t="n">
        <v>3</v>
      </c>
      <c r="I40" s="9" t="n">
        <v>0</v>
      </c>
      <c r="J40" s="9">
        <f>ROUND(E40,1)</f>
        <v/>
      </c>
      <c r="K40" s="9">
        <f>ROUND((E40/100)*100,0)</f>
        <v/>
      </c>
      <c r="L40" s="9">
        <f>ROUND((F40/100)*100,0)</f>
        <v/>
      </c>
      <c r="M40" s="9">
        <f>ROUND((G40/100)*100,0)</f>
        <v/>
      </c>
      <c r="N40" s="9">
        <f>ROUND((H40/100)*100,0)</f>
        <v/>
      </c>
      <c r="O40" s="9">
        <f>ROUND((I40/100)*100,0)</f>
        <v/>
      </c>
    </row>
    <row r="41">
      <c r="B41" s="4" t="n"/>
      <c r="C41" s="52" t="inlineStr">
        <is>
          <t>java</t>
        </is>
      </c>
      <c r="D41" s="4" t="inlineStr">
        <is>
          <t>python</t>
        </is>
      </c>
      <c r="E41" s="9" t="n">
        <v>0</v>
      </c>
      <c r="F41" s="9" t="n">
        <v>58</v>
      </c>
      <c r="G41" s="9" t="n">
        <v>12</v>
      </c>
      <c r="H41" s="9" t="n">
        <v>30</v>
      </c>
      <c r="I41" s="9" t="n">
        <v>0</v>
      </c>
      <c r="J41" s="9">
        <f>ROUND(E41,1)</f>
        <v/>
      </c>
      <c r="K41" s="9">
        <f>ROUND((E41/100)*100,0)</f>
        <v/>
      </c>
      <c r="L41" s="9">
        <f>ROUND((F41/100)*100,0)</f>
        <v/>
      </c>
      <c r="M41" s="9">
        <f>ROUND((G41/100)*100,0)</f>
        <v/>
      </c>
      <c r="N41" s="9">
        <f>ROUND((H41/100)*100,0)</f>
        <v/>
      </c>
      <c r="O41" s="9">
        <f>ROUND((I41/100)*100,0)</f>
        <v/>
      </c>
    </row>
    <row r="42">
      <c r="B42" s="55" t="inlineStr">
        <is>
          <t>Total/Average (100-file subset)</t>
        </is>
      </c>
      <c r="C42" s="55" t="n"/>
      <c r="E42" s="34">
        <f>ROUND(AVERAGE(E38:E41),2)</f>
        <v/>
      </c>
      <c r="F42" s="34">
        <f>ROUND(AVERAGE(F38:F41),2)</f>
        <v/>
      </c>
      <c r="G42" s="34">
        <f>ROUND(AVERAGE(G38:G41),2)</f>
        <v/>
      </c>
      <c r="H42" s="34">
        <f>ROUND(AVERAGE(H38:H41),2)</f>
        <v/>
      </c>
      <c r="I42" s="34">
        <f>ROUND(AVERAGE(I38:I41),2)</f>
        <v/>
      </c>
      <c r="J42" s="34">
        <f>ROUND(AVERAGE(J38:J41),1)</f>
        <v/>
      </c>
      <c r="K42" s="34">
        <f>ROUND(AVERAGE(K38:K41),0)</f>
        <v/>
      </c>
      <c r="L42" s="34">
        <f>ROUND(AVERAGE(L38:L41),0)</f>
        <v/>
      </c>
      <c r="M42" s="34">
        <f>ROUND(AVERAGE(M38:M41),0)</f>
        <v/>
      </c>
      <c r="N42" s="34">
        <f>ROUND(AVERAGE(N38:N41),0)</f>
        <v/>
      </c>
      <c r="O42" s="34">
        <f>ROUND(AVERAGE(O38:O41),0)</f>
        <v/>
      </c>
    </row>
  </sheetData>
  <mergeCells count="17">
    <mergeCell ref="C4:C7"/>
    <mergeCell ref="C28:C31"/>
    <mergeCell ref="J4:J7"/>
    <mergeCell ref="J12:J15"/>
    <mergeCell ref="J28:J31"/>
    <mergeCell ref="B4:B23"/>
    <mergeCell ref="C8:C11"/>
    <mergeCell ref="B35:D35"/>
    <mergeCell ref="C16:C19"/>
    <mergeCell ref="C20:C23"/>
    <mergeCell ref="C12:C15"/>
    <mergeCell ref="J8:J11"/>
    <mergeCell ref="J16:J19"/>
    <mergeCell ref="J20:J23"/>
    <mergeCell ref="B24:B31"/>
    <mergeCell ref="J24:J27"/>
    <mergeCell ref="C24:C27"/>
  </mergeCells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3:O35"/>
  <sheetViews>
    <sheetView workbookViewId="0">
      <selection activeCell="E39" sqref="E39"/>
    </sheetView>
  </sheetViews>
  <sheetFormatPr baseColWidth="10" defaultColWidth="8.83203125" defaultRowHeight="15"/>
  <cols>
    <col width="11.5" customWidth="1" min="2" max="2"/>
    <col width="16.83203125" customWidth="1" min="3" max="3"/>
    <col width="12.5" customWidth="1" min="4" max="4"/>
    <col width="18.6640625" customWidth="1" min="5" max="5"/>
    <col width="26.33203125" customWidth="1" min="6" max="6"/>
    <col width="24.1640625" customWidth="1" min="7" max="7"/>
    <col width="22.83203125" customWidth="1" min="8" max="8"/>
    <col width="21.5" customWidth="1" min="9" max="9"/>
    <col width="19" customWidth="1" min="10" max="10"/>
    <col width="16.5" customWidth="1" min="11" max="11"/>
    <col width="16.83203125" customWidth="1" min="12" max="12"/>
    <col width="14" customWidth="1" min="13" max="13"/>
    <col width="15" customWidth="1" min="14" max="14"/>
    <col width="19.83203125" customWidth="1" min="15" max="15"/>
  </cols>
  <sheetData>
    <row r="3" ht="16" customHeight="1">
      <c r="B3" s="1" t="inlineStr">
        <is>
          <t>dataset</t>
        </is>
      </c>
      <c r="C3" s="2" t="inlineStr">
        <is>
          <t>source</t>
        </is>
      </c>
      <c r="D3" s="2" t="inlineStr">
        <is>
          <t>target</t>
        </is>
      </c>
      <c r="E3" s="3" t="inlineStr">
        <is>
          <t>script accuracy %</t>
        </is>
      </c>
      <c r="F3" s="2" t="inlineStr">
        <is>
          <t>script compilation error %</t>
        </is>
      </c>
      <c r="G3" s="3" t="inlineStr">
        <is>
          <t>script runtime error %</t>
        </is>
      </c>
      <c r="H3" s="2" t="inlineStr">
        <is>
          <t>script wrong output %</t>
        </is>
      </c>
      <c r="I3" s="3" t="inlineStr">
        <is>
          <t>script infinite loop %</t>
        </is>
      </c>
      <c r="J3" s="17" t="inlineStr">
        <is>
          <t>avg source acc %</t>
        </is>
      </c>
      <c r="K3" s="18" t="inlineStr">
        <is>
          <t>num correct</t>
        </is>
      </c>
      <c r="L3" s="18" t="inlineStr">
        <is>
          <t>num compilation</t>
        </is>
      </c>
      <c r="M3" s="18" t="inlineStr">
        <is>
          <t>num runtime</t>
        </is>
      </c>
      <c r="N3" s="18" t="inlineStr">
        <is>
          <t>num incorrect</t>
        </is>
      </c>
      <c r="O3" s="18" t="inlineStr">
        <is>
          <t>num non-terminating</t>
        </is>
      </c>
    </row>
    <row r="4" ht="16.5" customHeight="1">
      <c r="B4" s="50" t="inlineStr">
        <is>
          <t>codenet</t>
        </is>
      </c>
      <c r="C4" s="57" t="inlineStr">
        <is>
          <t>c</t>
        </is>
      </c>
      <c r="D4" s="4" t="inlineStr">
        <is>
          <t>c++</t>
        </is>
      </c>
      <c r="E4" s="66" t="n">
        <v>45.5</v>
      </c>
      <c r="F4" s="36" t="n">
        <v>20</v>
      </c>
      <c r="G4" s="66" t="n">
        <v>33</v>
      </c>
      <c r="H4" s="36" t="n">
        <v>0</v>
      </c>
      <c r="I4" s="6" t="n">
        <v>1.5</v>
      </c>
      <c r="J4" s="63">
        <f>ROUND(AVERAGE(E4:E7),1)</f>
        <v/>
      </c>
      <c r="K4" s="27">
        <f>ROUND((E4/100)*200,0)</f>
        <v/>
      </c>
      <c r="L4" s="16">
        <f>ROUND((F4/100)*200,0)</f>
        <v/>
      </c>
      <c r="M4" s="27">
        <f>ROUND((G4/100)*200,0)</f>
        <v/>
      </c>
      <c r="N4" s="16">
        <f>ROUND((H4/100)*200,0)</f>
        <v/>
      </c>
      <c r="O4" s="27">
        <f>ROUND((I4/100)*200,0)</f>
        <v/>
      </c>
    </row>
    <row r="5" ht="16" customHeight="1">
      <c r="B5" s="70" t="n"/>
      <c r="C5" s="71" t="n"/>
      <c r="D5" s="4" t="inlineStr">
        <is>
          <t>go</t>
        </is>
      </c>
      <c r="E5" s="66" t="n">
        <v>5.5</v>
      </c>
      <c r="F5" s="37" t="n">
        <v>92.5</v>
      </c>
      <c r="G5" s="66" t="n">
        <v>0.5</v>
      </c>
      <c r="H5" s="37" t="n">
        <v>1.5</v>
      </c>
      <c r="I5" s="6" t="n">
        <v>0</v>
      </c>
      <c r="J5" s="70" t="n"/>
      <c r="K5" s="28">
        <f>ROUND((E5/100)*200,0)</f>
        <v/>
      </c>
      <c r="L5" s="16">
        <f>ROUND((F5/100)*200,0)</f>
        <v/>
      </c>
      <c r="M5" s="28">
        <f>ROUND((G5/100)*200,0)</f>
        <v/>
      </c>
      <c r="N5" s="16">
        <f>ROUND((H5/100)*200,0)</f>
        <v/>
      </c>
      <c r="O5" s="28">
        <f>ROUND((I5/100)*200,0)</f>
        <v/>
      </c>
    </row>
    <row r="6" ht="16" customHeight="1">
      <c r="B6" s="70" t="n"/>
      <c r="C6" s="71" t="n"/>
      <c r="D6" s="4" t="inlineStr">
        <is>
          <t>java</t>
        </is>
      </c>
      <c r="E6" s="66" t="n">
        <v>8</v>
      </c>
      <c r="F6" s="37" t="n">
        <v>52</v>
      </c>
      <c r="G6" s="66" t="n">
        <v>12</v>
      </c>
      <c r="H6" s="37" t="n">
        <v>28</v>
      </c>
      <c r="I6" s="6" t="n">
        <v>0</v>
      </c>
      <c r="J6" s="70" t="n"/>
      <c r="K6" s="28">
        <f>ROUND((E6/100)*200,0)</f>
        <v/>
      </c>
      <c r="L6" s="16">
        <f>ROUND((F6/100)*200,0)</f>
        <v/>
      </c>
      <c r="M6" s="28">
        <f>ROUND((G6/100)*200,0)</f>
        <v/>
      </c>
      <c r="N6" s="16">
        <f>ROUND((H6/100)*200,0)</f>
        <v/>
      </c>
      <c r="O6" s="28">
        <f>ROUND((I6/100)*200,0)</f>
        <v/>
      </c>
    </row>
    <row r="7" ht="16" customHeight="1">
      <c r="B7" s="70" t="n"/>
      <c r="C7" s="72" t="n"/>
      <c r="D7" s="4" t="inlineStr">
        <is>
          <t>py</t>
        </is>
      </c>
      <c r="E7" s="7" t="n">
        <v>16</v>
      </c>
      <c r="F7" s="38" t="n">
        <v>15</v>
      </c>
      <c r="G7" s="7" t="n">
        <v>41.5</v>
      </c>
      <c r="H7" s="38" t="n">
        <v>24.5</v>
      </c>
      <c r="I7" s="8" t="n">
        <v>2</v>
      </c>
      <c r="J7" s="70" t="n"/>
      <c r="K7" s="28">
        <f>ROUND((E7/100)*200,0)</f>
        <v/>
      </c>
      <c r="L7" s="16">
        <f>ROUND((F7/100)*200,0)</f>
        <v/>
      </c>
      <c r="M7" s="28">
        <f>ROUND((G7/100)*200,0)</f>
        <v/>
      </c>
      <c r="N7" s="16">
        <f>ROUND((H7/100)*200,0)</f>
        <v/>
      </c>
      <c r="O7" s="28">
        <f>ROUND((I7/100)*200,0)</f>
        <v/>
      </c>
    </row>
    <row r="8" ht="16" customHeight="1">
      <c r="B8" s="70" t="n"/>
      <c r="C8" s="58" t="inlineStr">
        <is>
          <t>c++</t>
        </is>
      </c>
      <c r="D8" s="4" t="inlineStr">
        <is>
          <t>c</t>
        </is>
      </c>
      <c r="E8" s="66" t="n">
        <v>6</v>
      </c>
      <c r="F8" s="37" t="n">
        <v>87.5</v>
      </c>
      <c r="G8" s="66" t="n">
        <v>0.5</v>
      </c>
      <c r="H8" s="37" t="n">
        <v>6</v>
      </c>
      <c r="I8" s="6" t="n">
        <v>0</v>
      </c>
      <c r="J8" s="73">
        <f>ROUND(AVERAGE(E8:E11),1)</f>
        <v/>
      </c>
      <c r="K8" s="27">
        <f>ROUND((E8/100)*200,0)</f>
        <v/>
      </c>
      <c r="L8" s="35">
        <f>ROUND((F8/100)*200,0)</f>
        <v/>
      </c>
      <c r="M8" s="27">
        <f>ROUND((G8/100)*200,0)</f>
        <v/>
      </c>
      <c r="N8" s="35">
        <f>ROUND((H8/100)*200,0)</f>
        <v/>
      </c>
      <c r="O8" s="27">
        <f>ROUND((I8/100)*200,0)</f>
        <v/>
      </c>
    </row>
    <row r="9" ht="16" customHeight="1">
      <c r="B9" s="70" t="n"/>
      <c r="C9" s="71" t="n"/>
      <c r="D9" s="4" t="inlineStr">
        <is>
          <t>go</t>
        </is>
      </c>
      <c r="E9" s="66" t="n">
        <v>0.5</v>
      </c>
      <c r="F9" s="37" t="n">
        <v>97.5</v>
      </c>
      <c r="G9" s="66" t="n">
        <v>0</v>
      </c>
      <c r="H9" s="37" t="n">
        <v>2</v>
      </c>
      <c r="I9" s="6" t="n">
        <v>0</v>
      </c>
      <c r="J9" s="74" t="n"/>
      <c r="K9" s="28">
        <f>ROUND((E9/100)*200,0)</f>
        <v/>
      </c>
      <c r="L9" s="16">
        <f>ROUND((F9/100)*200,0)</f>
        <v/>
      </c>
      <c r="M9" s="28">
        <f>ROUND((G9/100)*200,0)</f>
        <v/>
      </c>
      <c r="N9" s="16">
        <f>ROUND((H9/100)*200,0)</f>
        <v/>
      </c>
      <c r="O9" s="28">
        <f>ROUND((I9/100)*200,0)</f>
        <v/>
      </c>
    </row>
    <row r="10" ht="16" customHeight="1">
      <c r="B10" s="70" t="n"/>
      <c r="C10" s="71" t="n"/>
      <c r="D10" s="4" t="inlineStr">
        <is>
          <t>java</t>
        </is>
      </c>
      <c r="E10" s="66" t="n">
        <v>8</v>
      </c>
      <c r="F10" s="37" t="n">
        <v>67</v>
      </c>
      <c r="G10" s="66" t="n">
        <v>7.5</v>
      </c>
      <c r="H10" s="37" t="n">
        <v>17.5</v>
      </c>
      <c r="I10" s="6" t="n">
        <v>0</v>
      </c>
      <c r="J10" s="74" t="n"/>
      <c r="K10" s="28">
        <f>ROUND((E10/100)*200,0)</f>
        <v/>
      </c>
      <c r="L10" s="16">
        <f>ROUND((F10/100)*200,0)</f>
        <v/>
      </c>
      <c r="M10" s="28">
        <f>ROUND((G10/100)*200,0)</f>
        <v/>
      </c>
      <c r="N10" s="16">
        <f>ROUND((H10/100)*200,0)</f>
        <v/>
      </c>
      <c r="O10" s="28">
        <f>ROUND((I10/100)*200,0)</f>
        <v/>
      </c>
    </row>
    <row r="11" ht="16" customHeight="1">
      <c r="B11" s="70" t="n"/>
      <c r="C11" s="72" t="n"/>
      <c r="D11" s="4" t="inlineStr">
        <is>
          <t>py</t>
        </is>
      </c>
      <c r="E11" s="66" t="n">
        <v>18.5</v>
      </c>
      <c r="F11" s="37" t="n">
        <v>21</v>
      </c>
      <c r="G11" s="66" t="n">
        <v>42.5</v>
      </c>
      <c r="H11" s="37" t="n">
        <v>17</v>
      </c>
      <c r="I11" s="6" t="n">
        <v>1</v>
      </c>
      <c r="J11" s="75" t="n"/>
      <c r="K11" s="29">
        <f>ROUND((E11/100)*200,0)</f>
        <v/>
      </c>
      <c r="L11" s="26">
        <f>ROUND((F11/100)*200,0)</f>
        <v/>
      </c>
      <c r="M11" s="29">
        <f>ROUND((G11/100)*200,0)</f>
        <v/>
      </c>
      <c r="N11" s="26">
        <f>ROUND((H11/100)*200,0)</f>
        <v/>
      </c>
      <c r="O11" s="29">
        <f>ROUND((I11/100)*200,0)</f>
        <v/>
      </c>
    </row>
    <row r="12" ht="16" customHeight="1">
      <c r="B12" s="70" t="n"/>
      <c r="C12" s="59" t="inlineStr">
        <is>
          <t>go</t>
        </is>
      </c>
      <c r="D12" s="4" t="inlineStr">
        <is>
          <t>c++</t>
        </is>
      </c>
      <c r="E12" s="9" t="n">
        <v>18</v>
      </c>
      <c r="F12" s="39" t="n">
        <v>62</v>
      </c>
      <c r="G12" s="9" t="n">
        <v>0</v>
      </c>
      <c r="H12" s="39" t="n">
        <v>20</v>
      </c>
      <c r="I12" s="10" t="n">
        <v>0</v>
      </c>
      <c r="J12" s="65">
        <f>ROUND(AVERAGE(E12:E15),1)</f>
        <v/>
      </c>
      <c r="K12" s="28">
        <f>ROUND((E12/100)*200,0)</f>
        <v/>
      </c>
      <c r="L12" s="16">
        <f>ROUND((F12/100)*200,0)</f>
        <v/>
      </c>
      <c r="M12" s="28">
        <f>ROUND((G12/100)*200,0)</f>
        <v/>
      </c>
      <c r="N12" s="16">
        <f>ROUND((H12/100)*200,0)</f>
        <v/>
      </c>
      <c r="O12" s="28">
        <f>ROUND((I12/100)*200,0)</f>
        <v/>
      </c>
    </row>
    <row r="13" ht="16" customHeight="1">
      <c r="B13" s="70" t="n"/>
      <c r="C13" s="71" t="n"/>
      <c r="D13" s="4" t="inlineStr">
        <is>
          <t>c</t>
        </is>
      </c>
      <c r="E13" s="66" t="n">
        <v>3.5</v>
      </c>
      <c r="F13" s="37" t="n">
        <v>82</v>
      </c>
      <c r="G13" s="66" t="n">
        <v>0.5</v>
      </c>
      <c r="H13" s="37" t="n">
        <v>14</v>
      </c>
      <c r="I13" s="6" t="n">
        <v>0</v>
      </c>
      <c r="K13" s="28">
        <f>ROUND((E13/100)*200,0)</f>
        <v/>
      </c>
      <c r="L13" s="16">
        <f>ROUND((F13/100)*200,0)</f>
        <v/>
      </c>
      <c r="M13" s="28">
        <f>ROUND((G13/100)*200,0)</f>
        <v/>
      </c>
      <c r="N13" s="16">
        <f>ROUND((H13/100)*200,0)</f>
        <v/>
      </c>
      <c r="O13" s="28">
        <f>ROUND((I13/100)*200,0)</f>
        <v/>
      </c>
    </row>
    <row r="14" ht="16" customHeight="1">
      <c r="B14" s="70" t="n"/>
      <c r="C14" s="71" t="n"/>
      <c r="D14" s="4" t="inlineStr">
        <is>
          <t>java</t>
        </is>
      </c>
      <c r="E14" s="66" t="n">
        <v>0</v>
      </c>
      <c r="F14" s="37" t="n">
        <v>96.5</v>
      </c>
      <c r="G14" s="66" t="n">
        <v>3.5</v>
      </c>
      <c r="H14" s="37" t="n">
        <v>0</v>
      </c>
      <c r="I14" s="6" t="n">
        <v>0</v>
      </c>
      <c r="K14" s="28">
        <f>ROUND((E14/100)*200,0)</f>
        <v/>
      </c>
      <c r="L14" s="16">
        <f>ROUND((F14/100)*200,0)</f>
        <v/>
      </c>
      <c r="M14" s="28">
        <f>ROUND((G14/100)*200,0)</f>
        <v/>
      </c>
      <c r="N14" s="16">
        <f>ROUND((H14/100)*200,0)</f>
        <v/>
      </c>
      <c r="O14" s="28">
        <f>ROUND((I14/100)*200,0)</f>
        <v/>
      </c>
    </row>
    <row r="15" ht="16" customHeight="1">
      <c r="B15" s="70" t="n"/>
      <c r="C15" s="72" t="n"/>
      <c r="D15" s="4" t="inlineStr">
        <is>
          <t>py</t>
        </is>
      </c>
      <c r="E15" s="7" t="n">
        <v>5</v>
      </c>
      <c r="F15" s="38" t="n">
        <v>46.5</v>
      </c>
      <c r="G15" s="7" t="n">
        <v>27.5</v>
      </c>
      <c r="H15" s="38" t="n">
        <v>20.5</v>
      </c>
      <c r="I15" s="8" t="n">
        <v>0.5</v>
      </c>
      <c r="K15" s="28">
        <f>ROUND((E15/100)*200,0)</f>
        <v/>
      </c>
      <c r="L15" s="16">
        <f>ROUND((F15/100)*200,0)</f>
        <v/>
      </c>
      <c r="M15" s="28">
        <f>ROUND((G15/100)*200,0)</f>
        <v/>
      </c>
      <c r="N15" s="16">
        <f>ROUND((H15/100)*200,0)</f>
        <v/>
      </c>
      <c r="O15" s="28">
        <f>ROUND((I15/100)*200,0)</f>
        <v/>
      </c>
    </row>
    <row r="16" ht="16" customHeight="1">
      <c r="B16" s="70" t="n"/>
      <c r="C16" s="52" t="inlineStr">
        <is>
          <t>java</t>
        </is>
      </c>
      <c r="D16" s="4" t="inlineStr">
        <is>
          <t>c++</t>
        </is>
      </c>
      <c r="E16" s="66" t="n">
        <v>17.5</v>
      </c>
      <c r="F16" s="37" t="n">
        <v>48.5</v>
      </c>
      <c r="G16" s="66" t="n">
        <v>1.5</v>
      </c>
      <c r="H16" s="37" t="n">
        <v>31.5</v>
      </c>
      <c r="I16" s="6" t="n">
        <v>1</v>
      </c>
      <c r="J16" s="73">
        <f>ROUND(AVERAGE(E16:E19),1)</f>
        <v/>
      </c>
      <c r="K16" s="27">
        <f>ROUND((E16/100)*200,0)</f>
        <v/>
      </c>
      <c r="L16" s="35">
        <f>ROUND((F16/100)*200,0)</f>
        <v/>
      </c>
      <c r="M16" s="27">
        <f>ROUND((G16/100)*200,0)</f>
        <v/>
      </c>
      <c r="N16" s="35">
        <f>ROUND((H16/100)*200,0)</f>
        <v/>
      </c>
      <c r="O16" s="27">
        <f>ROUND((I16/100)*200,0)</f>
        <v/>
      </c>
    </row>
    <row r="17" ht="16" customHeight="1">
      <c r="B17" s="70" t="n"/>
      <c r="C17" s="71" t="n"/>
      <c r="D17" s="4" t="inlineStr">
        <is>
          <t>go</t>
        </is>
      </c>
      <c r="E17" s="66" t="n">
        <v>0</v>
      </c>
      <c r="F17" s="37" t="n">
        <v>99.5</v>
      </c>
      <c r="G17" s="66" t="n">
        <v>0</v>
      </c>
      <c r="H17" s="37" t="n">
        <v>0.5</v>
      </c>
      <c r="I17" s="6" t="n">
        <v>0</v>
      </c>
      <c r="J17" s="74" t="n"/>
      <c r="K17" s="28">
        <f>ROUND((E17/100)*200,0)</f>
        <v/>
      </c>
      <c r="L17" s="16">
        <f>ROUND((F17/100)*200,0)</f>
        <v/>
      </c>
      <c r="M17" s="28">
        <f>ROUND((G17/100)*200,0)</f>
        <v/>
      </c>
      <c r="N17" s="16">
        <f>ROUND((H17/100)*200,0)</f>
        <v/>
      </c>
      <c r="O17" s="28">
        <f>ROUND((I17/100)*200,0)</f>
        <v/>
      </c>
    </row>
    <row r="18" ht="16" customHeight="1">
      <c r="B18" s="70" t="n"/>
      <c r="C18" s="71" t="n"/>
      <c r="D18" s="4" t="inlineStr">
        <is>
          <t>c</t>
        </is>
      </c>
      <c r="E18" s="66" t="n">
        <v>7</v>
      </c>
      <c r="F18" s="37" t="n">
        <v>68</v>
      </c>
      <c r="G18" s="66" t="n">
        <v>4.5</v>
      </c>
      <c r="H18" s="37" t="n">
        <v>20.5</v>
      </c>
      <c r="I18" s="6" t="n">
        <v>0</v>
      </c>
      <c r="J18" s="74" t="n"/>
      <c r="K18" s="28">
        <f>ROUND((E18/100)*200,0)</f>
        <v/>
      </c>
      <c r="L18" s="16">
        <f>ROUND((F18/100)*200,0)</f>
        <v/>
      </c>
      <c r="M18" s="28">
        <f>ROUND((G18/100)*200,0)</f>
        <v/>
      </c>
      <c r="N18" s="16">
        <f>ROUND((H18/100)*200,0)</f>
        <v/>
      </c>
      <c r="O18" s="28">
        <f>ROUND((I18/100)*200,0)</f>
        <v/>
      </c>
    </row>
    <row r="19" ht="16" customHeight="1">
      <c r="B19" s="70" t="n"/>
      <c r="C19" s="72" t="n"/>
      <c r="D19" s="4" t="inlineStr">
        <is>
          <t>py</t>
        </is>
      </c>
      <c r="E19" s="66" t="n">
        <v>1.5</v>
      </c>
      <c r="F19" s="37" t="n">
        <v>57</v>
      </c>
      <c r="G19" s="66" t="n">
        <v>39.5</v>
      </c>
      <c r="H19" s="37" t="n">
        <v>2</v>
      </c>
      <c r="I19" s="6" t="n">
        <v>0</v>
      </c>
      <c r="J19" s="75" t="n"/>
      <c r="K19" s="29">
        <f>ROUND((E19/100)*200,0)</f>
        <v/>
      </c>
      <c r="L19" s="26">
        <f>ROUND((F19/100)*200,0)</f>
        <v/>
      </c>
      <c r="M19" s="29">
        <f>ROUND((G19/100)*200,0)</f>
        <v/>
      </c>
      <c r="N19" s="26">
        <f>ROUND((H19/100)*200,0)</f>
        <v/>
      </c>
      <c r="O19" s="29">
        <f>ROUND((I19/100)*200,0)</f>
        <v/>
      </c>
    </row>
    <row r="20" ht="16" customHeight="1">
      <c r="B20" s="70" t="n"/>
      <c r="C20" s="53" t="inlineStr">
        <is>
          <t>py</t>
        </is>
      </c>
      <c r="D20" s="4" t="inlineStr">
        <is>
          <t>c++</t>
        </is>
      </c>
      <c r="E20" s="9" t="n">
        <v>15</v>
      </c>
      <c r="F20" s="39" t="n">
        <v>62</v>
      </c>
      <c r="G20" s="9" t="n">
        <v>0.5</v>
      </c>
      <c r="H20" s="39" t="n">
        <v>22</v>
      </c>
      <c r="I20" s="10" t="n">
        <v>0.5</v>
      </c>
      <c r="J20" s="63">
        <f>ROUND(AVERAGE(E20:E23),1)</f>
        <v/>
      </c>
      <c r="K20" s="28">
        <f>ROUND((E20/100)*200,0)</f>
        <v/>
      </c>
      <c r="L20" s="16">
        <f>ROUND((F20/100)*200,0)</f>
        <v/>
      </c>
      <c r="M20" s="28">
        <f>ROUND((G20/100)*200,0)</f>
        <v/>
      </c>
      <c r="N20" s="16">
        <f>ROUND((H20/100)*200,0)</f>
        <v/>
      </c>
      <c r="O20" s="28">
        <f>ROUND((I20/100)*200,0)</f>
        <v/>
      </c>
    </row>
    <row r="21" ht="16" customHeight="1">
      <c r="B21" s="70" t="n"/>
      <c r="C21" s="71" t="n"/>
      <c r="D21" s="4" t="inlineStr">
        <is>
          <t>go</t>
        </is>
      </c>
      <c r="E21" s="66" t="n">
        <v>0</v>
      </c>
      <c r="F21" s="37" t="n">
        <v>96.5</v>
      </c>
      <c r="G21" s="66" t="n">
        <v>0</v>
      </c>
      <c r="H21" s="37" t="n">
        <v>3.5</v>
      </c>
      <c r="I21" s="6" t="n">
        <v>0</v>
      </c>
      <c r="J21" s="70" t="n"/>
      <c r="K21" s="28">
        <f>ROUND((E21/100)*200,0)</f>
        <v/>
      </c>
      <c r="L21" s="16">
        <f>ROUND((F21/100)*200,0)</f>
        <v/>
      </c>
      <c r="M21" s="28">
        <f>ROUND((G21/100)*200,0)</f>
        <v/>
      </c>
      <c r="N21" s="16">
        <f>ROUND((H21/100)*200,0)</f>
        <v/>
      </c>
      <c r="O21" s="28">
        <f>ROUND((I21/100)*200,0)</f>
        <v/>
      </c>
    </row>
    <row r="22" ht="16" customHeight="1">
      <c r="B22" s="70" t="n"/>
      <c r="C22" s="71" t="n"/>
      <c r="D22" s="4" t="inlineStr">
        <is>
          <t>java</t>
        </is>
      </c>
      <c r="E22" s="66" t="n">
        <v>5.5</v>
      </c>
      <c r="F22" s="37" t="n">
        <v>77</v>
      </c>
      <c r="G22" s="66" t="n">
        <v>7</v>
      </c>
      <c r="H22" s="37" t="n">
        <v>10.5</v>
      </c>
      <c r="I22" s="6" t="n">
        <v>0</v>
      </c>
      <c r="J22" s="70" t="n"/>
      <c r="K22" s="28">
        <f>ROUND((E22/100)*200,0)</f>
        <v/>
      </c>
      <c r="L22" s="16">
        <f>ROUND((F22/100)*200,0)</f>
        <v/>
      </c>
      <c r="M22" s="28">
        <f>ROUND((G22/100)*200,0)</f>
        <v/>
      </c>
      <c r="N22" s="16">
        <f>ROUND((H22/100)*200,0)</f>
        <v/>
      </c>
      <c r="O22" s="28">
        <f>ROUND((I22/100)*200,0)</f>
        <v/>
      </c>
    </row>
    <row r="23" ht="16" customHeight="1">
      <c r="B23" s="76" t="n"/>
      <c r="C23" s="72" t="n"/>
      <c r="D23" s="4" t="inlineStr">
        <is>
          <t>c</t>
        </is>
      </c>
      <c r="E23" s="66" t="n">
        <v>5.5</v>
      </c>
      <c r="F23" s="37" t="n">
        <v>80.5</v>
      </c>
      <c r="G23" s="66" t="n">
        <v>0</v>
      </c>
      <c r="H23" s="37" t="n">
        <v>14</v>
      </c>
      <c r="I23" s="6" t="n">
        <v>0</v>
      </c>
      <c r="J23" s="70" t="n"/>
      <c r="K23" s="28">
        <f>ROUND((E23/100)*200,0)</f>
        <v/>
      </c>
      <c r="L23" s="16">
        <f>ROUND((F23/100)*200,0)</f>
        <v/>
      </c>
      <c r="M23" s="28">
        <f>ROUND((G23/100)*200,0)</f>
        <v/>
      </c>
      <c r="N23" s="16">
        <f>ROUND((H23/100)*200,0)</f>
        <v/>
      </c>
      <c r="O23" s="28">
        <f>ROUND((I23/100)*200,0)</f>
        <v/>
      </c>
    </row>
    <row r="24" ht="16" customHeight="1">
      <c r="B24" s="50" t="inlineStr">
        <is>
          <t>avatar</t>
        </is>
      </c>
      <c r="C24" s="52" t="inlineStr">
        <is>
          <t>java</t>
        </is>
      </c>
      <c r="D24" s="4" t="inlineStr">
        <is>
          <t>c++</t>
        </is>
      </c>
      <c r="E24" s="9" t="n">
        <v>15.75</v>
      </c>
      <c r="F24" s="39" t="n">
        <v>64.56999999999999</v>
      </c>
      <c r="G24" s="9" t="n">
        <v>0.39</v>
      </c>
      <c r="H24" s="39" t="n">
        <v>17.32</v>
      </c>
      <c r="I24" s="10" t="n">
        <v>1.97</v>
      </c>
      <c r="J24" s="73">
        <f>ROUND(AVERAGE(E24:E27),1)</f>
        <v/>
      </c>
      <c r="K24" s="43">
        <f>ROUND((E24/100)*249,0)</f>
        <v/>
      </c>
      <c r="L24" s="27">
        <f>ROUND((F24/100)*249,0)</f>
        <v/>
      </c>
      <c r="M24" s="35">
        <f>ROUND((G24/100)*249,0)</f>
        <v/>
      </c>
      <c r="N24" s="27">
        <f>ROUND((H24/100)*249,0)</f>
        <v/>
      </c>
      <c r="O24" s="46">
        <f>ROUND((I24/100)*249,0)</f>
        <v/>
      </c>
    </row>
    <row r="25" ht="16" customHeight="1">
      <c r="B25" s="70" t="n"/>
      <c r="C25" s="71" t="n"/>
      <c r="D25" s="4" t="inlineStr">
        <is>
          <t>go</t>
        </is>
      </c>
      <c r="E25" s="66" t="n">
        <v>0</v>
      </c>
      <c r="F25" s="37" t="n">
        <v>99.59</v>
      </c>
      <c r="G25" s="66" t="n">
        <v>0</v>
      </c>
      <c r="H25" s="37" t="n">
        <v>0.4</v>
      </c>
      <c r="I25" s="6" t="n">
        <v>0</v>
      </c>
      <c r="J25" s="74" t="n"/>
      <c r="K25" s="41">
        <f>ROUND((E25/100)*249,0)</f>
        <v/>
      </c>
      <c r="L25" s="28">
        <f>ROUND((F25/100)*249,0)</f>
        <v/>
      </c>
      <c r="M25" s="16">
        <f>ROUND((G25/100)*249,0)</f>
        <v/>
      </c>
      <c r="N25" s="28">
        <f>ROUND((H25/100)*249,0)</f>
        <v/>
      </c>
      <c r="O25" s="42">
        <f>ROUND((I25/100)*249,0)</f>
        <v/>
      </c>
    </row>
    <row r="26" ht="16" customHeight="1">
      <c r="B26" s="70" t="n"/>
      <c r="C26" s="71" t="n"/>
      <c r="D26" s="4" t="inlineStr">
        <is>
          <t>c</t>
        </is>
      </c>
      <c r="E26" s="66" t="n">
        <v>4.42</v>
      </c>
      <c r="F26" s="37" t="n">
        <v>81.92</v>
      </c>
      <c r="G26" s="66" t="n">
        <v>7.63</v>
      </c>
      <c r="H26" s="37" t="n">
        <v>6.02</v>
      </c>
      <c r="I26" s="6" t="n">
        <v>0</v>
      </c>
      <c r="J26" s="74" t="n"/>
      <c r="K26" s="41">
        <f>ROUND((E26/100)*249,0)</f>
        <v/>
      </c>
      <c r="L26" s="28">
        <f>ROUND((F26/100)*249,0)</f>
        <v/>
      </c>
      <c r="M26" s="16">
        <f>ROUND((G26/100)*249,0)</f>
        <v/>
      </c>
      <c r="N26" s="28">
        <f>ROUND((H26/100)*249,0)</f>
        <v/>
      </c>
      <c r="O26" s="42">
        <f>ROUND((I26/100)*249,0)</f>
        <v/>
      </c>
    </row>
    <row r="27" ht="16" customHeight="1">
      <c r="B27" s="70" t="n"/>
      <c r="C27" s="72" t="n"/>
      <c r="D27" s="4" t="inlineStr">
        <is>
          <t>py</t>
        </is>
      </c>
      <c r="E27" s="66" t="n">
        <v>0</v>
      </c>
      <c r="F27" s="37" t="n">
        <v>53.41</v>
      </c>
      <c r="G27" s="66" t="n">
        <v>46.18</v>
      </c>
      <c r="H27" s="37" t="n">
        <v>0.4</v>
      </c>
      <c r="I27" s="6" t="n">
        <v>0</v>
      </c>
      <c r="J27" s="75" t="n"/>
      <c r="K27" s="44">
        <f>ROUND((E27/100)*249,0)</f>
        <v/>
      </c>
      <c r="L27" s="29">
        <f>ROUND((F27/100)*249,0)</f>
        <v/>
      </c>
      <c r="M27" s="26">
        <f>ROUND((G27/100)*249,0)</f>
        <v/>
      </c>
      <c r="N27" s="29">
        <f>ROUND((H27/100)*249,0)</f>
        <v/>
      </c>
      <c r="O27" s="45">
        <f>ROUND((I27/100)*249,0)</f>
        <v/>
      </c>
    </row>
    <row r="28" ht="16" customHeight="1">
      <c r="B28" s="70" t="n"/>
      <c r="C28" s="53" t="inlineStr">
        <is>
          <t>py</t>
        </is>
      </c>
      <c r="D28" s="4" t="inlineStr">
        <is>
          <t>c++</t>
        </is>
      </c>
      <c r="E28" s="9" t="n">
        <v>1.58</v>
      </c>
      <c r="F28" s="39" t="n">
        <v>78.97</v>
      </c>
      <c r="G28" s="9" t="n">
        <v>1.98</v>
      </c>
      <c r="H28" s="39" t="n">
        <v>17.06</v>
      </c>
      <c r="I28" s="10" t="n">
        <v>0.39</v>
      </c>
      <c r="J28" s="63">
        <f>ROUND(AVERAGE(E28:E31),1)</f>
        <v/>
      </c>
      <c r="K28" s="41">
        <f>ROUND((E28/100)*250,0)</f>
        <v/>
      </c>
      <c r="L28" s="41">
        <f>ROUND((F28/100)*250,0)</f>
        <v/>
      </c>
      <c r="M28" s="41">
        <f>ROUND((G28/100)*250,0)</f>
        <v/>
      </c>
      <c r="N28" s="28">
        <f>ROUND((H28/100)*250,0)</f>
        <v/>
      </c>
      <c r="O28" s="28">
        <f>ROUND((I28/100)*250,0)</f>
        <v/>
      </c>
    </row>
    <row r="29" ht="16" customHeight="1">
      <c r="B29" s="70" t="n"/>
      <c r="C29" s="71" t="n"/>
      <c r="D29" s="4" t="inlineStr">
        <is>
          <t>go</t>
        </is>
      </c>
      <c r="E29" s="66" t="n">
        <v>0</v>
      </c>
      <c r="F29" s="37" t="n">
        <v>97.2</v>
      </c>
      <c r="G29" s="66" t="n">
        <v>0.8</v>
      </c>
      <c r="H29" s="37" t="n">
        <v>2</v>
      </c>
      <c r="I29" s="6" t="n">
        <v>0</v>
      </c>
      <c r="J29" s="70" t="n"/>
      <c r="K29" s="41">
        <f>ROUND((E29/100)*250,0)</f>
        <v/>
      </c>
      <c r="L29" s="41">
        <f>ROUND((F29/100)*250,0)</f>
        <v/>
      </c>
      <c r="M29" s="41">
        <f>ROUND((G29/100)*250,0)</f>
        <v/>
      </c>
      <c r="N29" s="28">
        <f>ROUND((H29/100)*250,0)</f>
        <v/>
      </c>
      <c r="O29" s="28">
        <f>ROUND((I29/100)*250,0)</f>
        <v/>
      </c>
    </row>
    <row r="30" ht="16" customHeight="1">
      <c r="B30" s="70" t="n"/>
      <c r="C30" s="71" t="n"/>
      <c r="D30" s="4" t="inlineStr">
        <is>
          <t>java</t>
        </is>
      </c>
      <c r="E30" s="66" t="n">
        <v>1.99</v>
      </c>
      <c r="F30" s="37" t="n">
        <v>82.47</v>
      </c>
      <c r="G30" s="66" t="n">
        <v>7.97</v>
      </c>
      <c r="H30" s="37" t="n">
        <v>7.57</v>
      </c>
      <c r="I30" s="6" t="n">
        <v>0</v>
      </c>
      <c r="J30" s="70" t="n"/>
      <c r="K30" s="41">
        <f>ROUND((E30/100)*250,0)</f>
        <v/>
      </c>
      <c r="L30" s="41">
        <f>ROUND((F30/100)*250,0)</f>
        <v/>
      </c>
      <c r="M30" s="41">
        <f>ROUND((G30/100)*250,0)</f>
        <v/>
      </c>
      <c r="N30" s="28">
        <f>ROUND((H30/100)*250,0)</f>
        <v/>
      </c>
      <c r="O30" s="28">
        <f>ROUND((I30/100)*250,0)</f>
        <v/>
      </c>
    </row>
    <row r="31" ht="16" customHeight="1">
      <c r="B31" s="76" t="n"/>
      <c r="C31" s="72" t="n"/>
      <c r="D31" s="12" t="inlineStr">
        <is>
          <t>c</t>
        </is>
      </c>
      <c r="E31" s="66" t="n">
        <v>0</v>
      </c>
      <c r="F31" s="49" t="n">
        <v>91.59999999999999</v>
      </c>
      <c r="G31" s="66" t="n">
        <v>2</v>
      </c>
      <c r="H31" s="49" t="n">
        <v>6.4</v>
      </c>
      <c r="I31" s="6" t="n">
        <v>0</v>
      </c>
      <c r="J31" s="70" t="n"/>
      <c r="K31" s="28">
        <f>ROUND((E31/100)*250,0)</f>
        <v/>
      </c>
      <c r="L31" s="16">
        <f>ROUND((F31/100)*250,0)</f>
        <v/>
      </c>
      <c r="M31" s="28">
        <f>ROUND((G31/100)*250,0)</f>
        <v/>
      </c>
      <c r="N31" s="16">
        <f>ROUND((H31/100)*250,0)</f>
        <v/>
      </c>
      <c r="O31" s="28">
        <f>ROUND((I31/100)*250,0)</f>
        <v/>
      </c>
    </row>
    <row r="32" ht="16" customHeight="1">
      <c r="B32" s="13" t="inlineStr">
        <is>
          <t>evalplus</t>
        </is>
      </c>
      <c r="C32" s="53" t="inlineStr">
        <is>
          <t>python</t>
        </is>
      </c>
      <c r="D32" s="4" t="inlineStr">
        <is>
          <t>java</t>
        </is>
      </c>
      <c r="E32" s="4" t="n">
        <v>14.02</v>
      </c>
      <c r="F32" s="48" t="n">
        <v>62.8</v>
      </c>
      <c r="G32" s="4" t="n">
        <v>2.44</v>
      </c>
      <c r="H32" s="48" t="n">
        <v>20.73</v>
      </c>
      <c r="I32" s="4" t="n">
        <v>0</v>
      </c>
      <c r="J32" s="33">
        <f>ROUND(E32,1)</f>
        <v/>
      </c>
      <c r="K32" s="34">
        <f>ROUND((E32/100)*164,0)</f>
        <v/>
      </c>
      <c r="L32" s="31">
        <f>ROUND((F32/100)*164,0)</f>
        <v/>
      </c>
      <c r="M32" s="34">
        <f>ROUND((G32/100)*164,0)</f>
        <v/>
      </c>
      <c r="N32" s="31">
        <f>ROUND((H32/100)*164,0)</f>
        <v/>
      </c>
      <c r="O32" s="34">
        <f>ROUND((I32/100)*164,0)</f>
        <v/>
      </c>
    </row>
    <row r="33" ht="16" customHeight="1">
      <c r="B33" s="18" t="inlineStr">
        <is>
          <t>Commons-CLI</t>
        </is>
      </c>
      <c r="C33" s="25" t="inlineStr">
        <is>
          <t>Java</t>
        </is>
      </c>
      <c r="D33" s="14" t="inlineStr">
        <is>
          <t>python</t>
        </is>
      </c>
      <c r="E33" s="15" t="n">
        <v>0</v>
      </c>
      <c r="F33" s="37" t="n">
        <v>100</v>
      </c>
      <c r="G33" s="66" t="n">
        <v>0</v>
      </c>
      <c r="H33" s="37" t="n">
        <v>0</v>
      </c>
      <c r="I33" s="6" t="n">
        <v>0</v>
      </c>
      <c r="J33" s="16">
        <f>ROUND(E33,1)</f>
        <v/>
      </c>
      <c r="K33" s="28">
        <f>ROUND((E33/100)*22,0)</f>
        <v/>
      </c>
      <c r="L33" s="16">
        <f>ROUND((F33/100)*22,0)</f>
        <v/>
      </c>
      <c r="M33" s="28">
        <f>ROUND((G33/100)*22,0)</f>
        <v/>
      </c>
      <c r="N33" s="16">
        <f>ROUND((H33/100)*22,0)</f>
        <v/>
      </c>
      <c r="O33" s="28">
        <f>ROUND((I33/100)*22,0)</f>
        <v/>
      </c>
    </row>
    <row r="34" ht="16" customHeight="1">
      <c r="B34" s="30" t="inlineStr">
        <is>
          <t>Click</t>
        </is>
      </c>
      <c r="C34" s="47" t="inlineStr">
        <is>
          <t>python</t>
        </is>
      </c>
      <c r="D34" s="40" t="inlineStr">
        <is>
          <t>java</t>
        </is>
      </c>
      <c r="E34" s="66" t="n">
        <v>0</v>
      </c>
      <c r="F34" s="37" t="n">
        <v>100</v>
      </c>
      <c r="G34" s="66" t="n">
        <v>0</v>
      </c>
      <c r="H34" s="37" t="n">
        <v>0</v>
      </c>
      <c r="I34" s="6" t="n">
        <v>0</v>
      </c>
      <c r="J34" s="16">
        <f>ROUND(E34,1)</f>
        <v/>
      </c>
      <c r="K34" s="28">
        <f>ROUND((E34/100)*15,0)</f>
        <v/>
      </c>
      <c r="L34" s="16">
        <f>ROUND((F34/100)*15,0)</f>
        <v/>
      </c>
      <c r="M34" s="28">
        <f>ROUND((G34/100)*15,0)</f>
        <v/>
      </c>
      <c r="N34" s="16">
        <f>ROUND((H34/100)*15,0)</f>
        <v/>
      </c>
      <c r="O34" s="28">
        <f>ROUND((I34/100)*15,0)</f>
        <v/>
      </c>
    </row>
    <row r="35">
      <c r="B35" s="55" t="inlineStr">
        <is>
          <t>Total/Average</t>
        </is>
      </c>
      <c r="C35" s="77" t="n"/>
      <c r="D35" s="77" t="n"/>
      <c r="E35" s="34">
        <f>AVERAGE(AVERAGE(E4:E23),AVERAGE(E24:E31),E32,E33,E34)</f>
        <v/>
      </c>
      <c r="F35" s="34">
        <f>AVERAGE(AVERAGE(F4:F23),AVERAGE(F24:F31),F32,F33,F34)</f>
        <v/>
      </c>
      <c r="G35" s="31">
        <f>AVERAGE(AVERAGE(G4:G23),AVERAGE(G24:G31),G32,G33,G34)</f>
        <v/>
      </c>
      <c r="H35" s="34">
        <f>AVERAGE(AVERAGE(H4:H23),AVERAGE(H24:H31),H32,H33,H34)</f>
        <v/>
      </c>
      <c r="I35" s="31">
        <f>AVERAGE(AVERAGE(I4:I23),AVERAGE(I24:I31),I32,I33,I34)</f>
        <v/>
      </c>
      <c r="J35" s="34">
        <f>ROUND(AVERAGE(AVERAGE(J4:J23),AVERAGE(J24:J31),J32,J33,J34),1)</f>
        <v/>
      </c>
      <c r="K35" s="34">
        <f>ROUND(AVERAGE(K4:K34),0)</f>
        <v/>
      </c>
      <c r="L35" s="34">
        <f>ROUND(AVERAGE(L4:L34),0)</f>
        <v/>
      </c>
      <c r="M35" s="34">
        <f>ROUND(AVERAGE(M4:M34),0)</f>
        <v/>
      </c>
      <c r="N35" s="34">
        <f>ROUND(AVERAGE(N4:N34),0)</f>
        <v/>
      </c>
      <c r="O35" s="34">
        <f>ROUND(AVERAGE(O4:O34),0)</f>
        <v/>
      </c>
    </row>
  </sheetData>
  <mergeCells count="17">
    <mergeCell ref="C4:C7"/>
    <mergeCell ref="C28:C31"/>
    <mergeCell ref="J4:J7"/>
    <mergeCell ref="J12:J15"/>
    <mergeCell ref="J28:J31"/>
    <mergeCell ref="B4:B23"/>
    <mergeCell ref="C8:C11"/>
    <mergeCell ref="B35:D35"/>
    <mergeCell ref="C16:C19"/>
    <mergeCell ref="C20:C23"/>
    <mergeCell ref="C12:C15"/>
    <mergeCell ref="J8:J11"/>
    <mergeCell ref="J16:J19"/>
    <mergeCell ref="J20:J23"/>
    <mergeCell ref="B24:B31"/>
    <mergeCell ref="J24:J27"/>
    <mergeCell ref="C24:C27"/>
  </mergeCells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3:O35"/>
  <sheetViews>
    <sheetView topLeftCell="C1" workbookViewId="0">
      <selection activeCell="G38" sqref="G38"/>
    </sheetView>
  </sheetViews>
  <sheetFormatPr baseColWidth="10" defaultColWidth="8.83203125" defaultRowHeight="15"/>
  <cols>
    <col width="11.5" customWidth="1" min="2" max="2"/>
    <col width="16.1640625" customWidth="1" min="3" max="3"/>
    <col width="12.5" customWidth="1" min="4" max="4"/>
    <col width="18.6640625" customWidth="1" min="5" max="5"/>
    <col width="26.33203125" customWidth="1" min="6" max="6"/>
    <col width="24.1640625" customWidth="1" min="7" max="7"/>
    <col width="22.83203125" customWidth="1" min="8" max="8"/>
    <col width="21.5" customWidth="1" min="9" max="9"/>
    <col width="18.5" customWidth="1" min="10" max="10"/>
    <col width="15" customWidth="1" min="11" max="11"/>
    <col width="16.33203125" customWidth="1" min="12" max="12"/>
    <col width="17.1640625" customWidth="1" min="13" max="13"/>
    <col width="16.6640625" customWidth="1" min="14" max="14"/>
    <col width="20.1640625" customWidth="1" min="15" max="15"/>
  </cols>
  <sheetData>
    <row r="3" ht="16" customHeight="1">
      <c r="B3" s="1" t="inlineStr">
        <is>
          <t>dataset</t>
        </is>
      </c>
      <c r="C3" s="2" t="inlineStr">
        <is>
          <t>source</t>
        </is>
      </c>
      <c r="D3" s="2" t="inlineStr">
        <is>
          <t>target</t>
        </is>
      </c>
      <c r="E3" s="3" t="inlineStr">
        <is>
          <t>script accuracy %</t>
        </is>
      </c>
      <c r="F3" s="2" t="inlineStr">
        <is>
          <t>script compilation error %</t>
        </is>
      </c>
      <c r="G3" s="3" t="inlineStr">
        <is>
          <t>script runtime error %</t>
        </is>
      </c>
      <c r="H3" s="2" t="inlineStr">
        <is>
          <t>script wrong output %</t>
        </is>
      </c>
      <c r="I3" s="3" t="inlineStr">
        <is>
          <t>script infinite loop %</t>
        </is>
      </c>
      <c r="J3" s="17" t="inlineStr">
        <is>
          <t>avg source acc %</t>
        </is>
      </c>
      <c r="K3" s="18" t="inlineStr">
        <is>
          <t>num correct</t>
        </is>
      </c>
      <c r="L3" s="18" t="inlineStr">
        <is>
          <t>num compilation</t>
        </is>
      </c>
      <c r="M3" s="18" t="inlineStr">
        <is>
          <t>num runtime</t>
        </is>
      </c>
      <c r="N3" s="18" t="inlineStr">
        <is>
          <t>num incorrect</t>
        </is>
      </c>
      <c r="O3" s="18" t="inlineStr">
        <is>
          <t>num non-terminating</t>
        </is>
      </c>
    </row>
    <row r="4" ht="16" customHeight="1">
      <c r="B4" s="50" t="inlineStr">
        <is>
          <t>codenet</t>
        </is>
      </c>
      <c r="C4" s="57" t="inlineStr">
        <is>
          <t>c</t>
        </is>
      </c>
      <c r="D4" s="4" t="inlineStr">
        <is>
          <t>c++</t>
        </is>
      </c>
      <c r="E4" s="9" t="n">
        <v>0</v>
      </c>
      <c r="F4" s="36" t="n">
        <v>100</v>
      </c>
      <c r="G4" s="9" t="n">
        <v>0</v>
      </c>
      <c r="H4" s="36" t="n">
        <v>0</v>
      </c>
      <c r="I4" s="10" t="n">
        <v>0</v>
      </c>
      <c r="J4" s="63">
        <f>ROUND(AVERAGE(E4:E7),1)</f>
        <v/>
      </c>
      <c r="K4" s="27">
        <f>ROUND((E4/100)*200,0)</f>
        <v/>
      </c>
      <c r="L4" s="16">
        <f>ROUND((F4/100)*200,0)</f>
        <v/>
      </c>
      <c r="M4" s="27">
        <f>ROUND((G4/100)*200,0)</f>
        <v/>
      </c>
      <c r="N4" s="16">
        <f>ROUND((H4/100)*200,0)</f>
        <v/>
      </c>
      <c r="O4" s="27">
        <f>ROUND((I4/100)*200,0)</f>
        <v/>
      </c>
    </row>
    <row r="5" ht="16" customHeight="1">
      <c r="B5" s="70" t="n"/>
      <c r="C5" s="71" t="n"/>
      <c r="D5" s="4" t="inlineStr">
        <is>
          <t>go</t>
        </is>
      </c>
      <c r="E5" s="66" t="n">
        <v>11</v>
      </c>
      <c r="F5" s="37" t="n">
        <v>82.5</v>
      </c>
      <c r="G5" s="66" t="n">
        <v>1</v>
      </c>
      <c r="H5" s="37" t="n">
        <v>4.5</v>
      </c>
      <c r="I5" s="6" t="n">
        <v>1</v>
      </c>
      <c r="J5" s="70" t="n"/>
      <c r="K5" s="28">
        <f>ROUND((E5/100)*200,0)</f>
        <v/>
      </c>
      <c r="L5" s="16">
        <f>ROUND((F5/100)*200,0)</f>
        <v/>
      </c>
      <c r="M5" s="28">
        <f>ROUND((G5/100)*200,0)</f>
        <v/>
      </c>
      <c r="N5" s="16">
        <f>ROUND((H5/100)*200,0)</f>
        <v/>
      </c>
      <c r="O5" s="28">
        <f>ROUND((I5/100)*200,0)</f>
        <v/>
      </c>
    </row>
    <row r="6" ht="16" customHeight="1">
      <c r="B6" s="70" t="n"/>
      <c r="C6" s="71" t="n"/>
      <c r="D6" s="4" t="inlineStr">
        <is>
          <t>java</t>
        </is>
      </c>
      <c r="E6" s="66" t="n">
        <v>1.5</v>
      </c>
      <c r="F6" s="37" t="n">
        <v>82.5</v>
      </c>
      <c r="G6" s="66" t="n">
        <v>5.5</v>
      </c>
      <c r="H6" s="37" t="n">
        <v>10.5</v>
      </c>
      <c r="I6" s="6" t="n">
        <v>0</v>
      </c>
      <c r="J6" s="70" t="n"/>
      <c r="K6" s="28">
        <f>ROUND((E6/100)*200,0)</f>
        <v/>
      </c>
      <c r="L6" s="16">
        <f>ROUND((F6/100)*200,0)</f>
        <v/>
      </c>
      <c r="M6" s="28">
        <f>ROUND((G6/100)*200,0)</f>
        <v/>
      </c>
      <c r="N6" s="16">
        <f>ROUND((H6/100)*200,0)</f>
        <v/>
      </c>
      <c r="O6" s="28">
        <f>ROUND((I6/100)*200,0)</f>
        <v/>
      </c>
    </row>
    <row r="7" ht="16" customHeight="1">
      <c r="B7" s="70" t="n"/>
      <c r="C7" s="72" t="n"/>
      <c r="D7" s="4" t="inlineStr">
        <is>
          <t>python</t>
        </is>
      </c>
      <c r="E7" s="7" t="n">
        <v>5</v>
      </c>
      <c r="F7" s="38" t="n">
        <v>81.5</v>
      </c>
      <c r="G7" s="7" t="n">
        <v>10</v>
      </c>
      <c r="H7" s="38" t="n">
        <v>3</v>
      </c>
      <c r="I7" s="8" t="n">
        <v>0.5</v>
      </c>
      <c r="J7" s="70" t="n"/>
      <c r="K7" s="28">
        <f>ROUND((E7/100)*200,0)</f>
        <v/>
      </c>
      <c r="L7" s="16">
        <f>ROUND((F7/100)*200,0)</f>
        <v/>
      </c>
      <c r="M7" s="28">
        <f>ROUND((G7/100)*200,0)</f>
        <v/>
      </c>
      <c r="N7" s="16">
        <f>ROUND((H7/100)*200,0)</f>
        <v/>
      </c>
      <c r="O7" s="28">
        <f>ROUND((I7/100)*200,0)</f>
        <v/>
      </c>
    </row>
    <row r="8" ht="16" customHeight="1">
      <c r="B8" s="70" t="n"/>
      <c r="C8" s="58" t="inlineStr">
        <is>
          <t>c++</t>
        </is>
      </c>
      <c r="D8" s="4" t="inlineStr">
        <is>
          <t>c</t>
        </is>
      </c>
      <c r="E8" s="9" t="n">
        <v>0</v>
      </c>
      <c r="F8" s="39" t="n">
        <v>100</v>
      </c>
      <c r="G8" s="9" t="n">
        <v>0</v>
      </c>
      <c r="H8" s="39" t="n">
        <v>0</v>
      </c>
      <c r="I8" s="10" t="n">
        <v>0</v>
      </c>
      <c r="J8" s="73">
        <f>ROUND(AVERAGE(E8:E11),1)</f>
        <v/>
      </c>
      <c r="K8" s="27">
        <f>ROUND((E8/100)*200,0)</f>
        <v/>
      </c>
      <c r="L8" s="35">
        <f>ROUND((F8/100)*200,0)</f>
        <v/>
      </c>
      <c r="M8" s="27">
        <f>ROUND((G8/100)*200,0)</f>
        <v/>
      </c>
      <c r="N8" s="35">
        <f>ROUND((H8/100)*200,0)</f>
        <v/>
      </c>
      <c r="O8" s="27">
        <f>ROUND((I8/100)*200,0)</f>
        <v/>
      </c>
    </row>
    <row r="9" ht="16" customHeight="1">
      <c r="B9" s="70" t="n"/>
      <c r="C9" s="71" t="n"/>
      <c r="D9" s="4" t="inlineStr">
        <is>
          <t>go</t>
        </is>
      </c>
      <c r="E9" s="66" t="n">
        <v>4</v>
      </c>
      <c r="F9" s="37" t="n">
        <v>88</v>
      </c>
      <c r="G9" s="66" t="n">
        <v>2</v>
      </c>
      <c r="H9" s="37" t="n">
        <v>6</v>
      </c>
      <c r="I9" s="6" t="n">
        <v>0</v>
      </c>
      <c r="J9" s="74" t="n"/>
      <c r="K9" s="28">
        <f>ROUND((E9/100)*200,0)</f>
        <v/>
      </c>
      <c r="L9" s="16">
        <f>ROUND((F9/100)*200,0)</f>
        <v/>
      </c>
      <c r="M9" s="28">
        <f>ROUND((G9/100)*200,0)</f>
        <v/>
      </c>
      <c r="N9" s="16">
        <f>ROUND((H9/100)*200,0)</f>
        <v/>
      </c>
      <c r="O9" s="28">
        <f>ROUND((I9/100)*200,0)</f>
        <v/>
      </c>
    </row>
    <row r="10" ht="16" customHeight="1">
      <c r="B10" s="70" t="n"/>
      <c r="C10" s="71" t="n"/>
      <c r="D10" s="4" t="inlineStr">
        <is>
          <t>java</t>
        </is>
      </c>
      <c r="E10" s="66" t="n">
        <v>3.5</v>
      </c>
      <c r="F10" s="37" t="n">
        <v>82.5</v>
      </c>
      <c r="G10" s="66" t="n">
        <v>1</v>
      </c>
      <c r="H10" s="37" t="n">
        <v>12.5</v>
      </c>
      <c r="I10" s="6" t="n">
        <v>0.5</v>
      </c>
      <c r="J10" s="74" t="n"/>
      <c r="K10" s="28">
        <f>ROUND((E10/100)*200,0)</f>
        <v/>
      </c>
      <c r="L10" s="16">
        <f>ROUND((F10/100)*200,0)</f>
        <v/>
      </c>
      <c r="M10" s="28">
        <f>ROUND((G10/100)*200,0)</f>
        <v/>
      </c>
      <c r="N10" s="16">
        <f>ROUND((H10/100)*200,0)</f>
        <v/>
      </c>
      <c r="O10" s="28">
        <f>ROUND((I10/100)*200,0)</f>
        <v/>
      </c>
    </row>
    <row r="11" ht="16" customHeight="1">
      <c r="B11" s="70" t="n"/>
      <c r="C11" s="72" t="n"/>
      <c r="D11" s="4" t="inlineStr">
        <is>
          <t>python</t>
        </is>
      </c>
      <c r="E11" s="66" t="n">
        <v>6</v>
      </c>
      <c r="F11" s="37" t="n">
        <v>75.5</v>
      </c>
      <c r="G11" s="66" t="n">
        <v>13.5</v>
      </c>
      <c r="H11" s="37" t="n">
        <v>5</v>
      </c>
      <c r="I11" s="6" t="n">
        <v>0</v>
      </c>
      <c r="J11" s="75" t="n"/>
      <c r="K11" s="29">
        <f>ROUND((E11/100)*200,0)</f>
        <v/>
      </c>
      <c r="L11" s="26">
        <f>ROUND((F11/100)*200,0)</f>
        <v/>
      </c>
      <c r="M11" s="29">
        <f>ROUND((G11/100)*200,0)</f>
        <v/>
      </c>
      <c r="N11" s="26">
        <f>ROUND((H11/100)*200,0)</f>
        <v/>
      </c>
      <c r="O11" s="29">
        <f>ROUND((I11/100)*200,0)</f>
        <v/>
      </c>
    </row>
    <row r="12" ht="16" customHeight="1">
      <c r="B12" s="70" t="n"/>
      <c r="C12" s="59" t="inlineStr">
        <is>
          <t>go</t>
        </is>
      </c>
      <c r="D12" s="4" t="inlineStr">
        <is>
          <t>c++</t>
        </is>
      </c>
      <c r="E12" s="9" t="n">
        <v>0</v>
      </c>
      <c r="F12" s="39" t="n">
        <v>100</v>
      </c>
      <c r="G12" s="9" t="n">
        <v>0</v>
      </c>
      <c r="H12" s="39" t="n">
        <v>0</v>
      </c>
      <c r="I12" s="10" t="n">
        <v>0</v>
      </c>
      <c r="J12" s="65">
        <f>ROUND(AVERAGE(E12:E15),1)</f>
        <v/>
      </c>
      <c r="K12" s="28">
        <f>ROUND((E12/100)*200,0)</f>
        <v/>
      </c>
      <c r="L12" s="16">
        <f>ROUND((F12/100)*200,0)</f>
        <v/>
      </c>
      <c r="M12" s="28">
        <f>ROUND((G12/100)*200,0)</f>
        <v/>
      </c>
      <c r="N12" s="16">
        <f>ROUND((H12/100)*200,0)</f>
        <v/>
      </c>
      <c r="O12" s="28">
        <f>ROUND((I12/100)*200,0)</f>
        <v/>
      </c>
    </row>
    <row r="13" ht="16" customHeight="1">
      <c r="B13" s="70" t="n"/>
      <c r="C13" s="71" t="n"/>
      <c r="D13" s="69" t="inlineStr">
        <is>
          <t>c</t>
        </is>
      </c>
      <c r="E13" s="68" t="n">
        <v>0</v>
      </c>
      <c r="F13" s="68" t="n">
        <v>100</v>
      </c>
      <c r="G13" s="68" t="n">
        <v>0</v>
      </c>
      <c r="H13" s="68" t="n">
        <v>0</v>
      </c>
      <c r="I13" s="68" t="n">
        <v>0</v>
      </c>
      <c r="K13" s="28">
        <f>ROUND((E13/100)*200,0)</f>
        <v/>
      </c>
      <c r="L13" s="16">
        <f>ROUND((F13/100)*200,0)</f>
        <v/>
      </c>
      <c r="M13" s="28">
        <f>ROUND((G13/100)*200,0)</f>
        <v/>
      </c>
      <c r="N13" s="16">
        <f>ROUND((H13/100)*200,0)</f>
        <v/>
      </c>
      <c r="O13" s="28">
        <f>ROUND((I13/100)*200,0)</f>
        <v/>
      </c>
    </row>
    <row r="14" ht="16" customHeight="1">
      <c r="B14" s="70" t="n"/>
      <c r="C14" s="71" t="n"/>
      <c r="D14" s="4" t="inlineStr">
        <is>
          <t>java</t>
        </is>
      </c>
      <c r="E14" s="66" t="n">
        <v>3.5</v>
      </c>
      <c r="F14" s="37" t="n">
        <v>87.5</v>
      </c>
      <c r="G14" s="66" t="n">
        <v>7.5</v>
      </c>
      <c r="H14" s="37" t="n">
        <v>1.5</v>
      </c>
      <c r="I14" s="6" t="n">
        <v>0</v>
      </c>
      <c r="K14" s="28">
        <f>ROUND((E14/100)*200,0)</f>
        <v/>
      </c>
      <c r="L14" s="16">
        <f>ROUND((F14/100)*200,0)</f>
        <v/>
      </c>
      <c r="M14" s="28">
        <f>ROUND((G14/100)*200,0)</f>
        <v/>
      </c>
      <c r="N14" s="16">
        <f>ROUND((H14/100)*200,0)</f>
        <v/>
      </c>
      <c r="O14" s="28">
        <f>ROUND((I14/100)*200,0)</f>
        <v/>
      </c>
    </row>
    <row r="15" ht="16" customHeight="1">
      <c r="B15" s="70" t="n"/>
      <c r="C15" s="72" t="n"/>
      <c r="D15" s="4" t="inlineStr">
        <is>
          <t>python</t>
        </is>
      </c>
      <c r="E15" s="7" t="n">
        <v>0</v>
      </c>
      <c r="F15" s="38" t="n">
        <v>97</v>
      </c>
      <c r="G15" s="7" t="n">
        <v>1.5</v>
      </c>
      <c r="H15" s="38" t="n">
        <v>1.5</v>
      </c>
      <c r="I15" s="8" t="n">
        <v>0</v>
      </c>
      <c r="K15" s="28">
        <f>ROUND((E15/100)*200,0)</f>
        <v/>
      </c>
      <c r="L15" s="16">
        <f>ROUND((F15/100)*200,0)</f>
        <v/>
      </c>
      <c r="M15" s="28">
        <f>ROUND((G15/100)*200,0)</f>
        <v/>
      </c>
      <c r="N15" s="16">
        <f>ROUND((H15/100)*200,0)</f>
        <v/>
      </c>
      <c r="O15" s="28">
        <f>ROUND((I15/100)*200,0)</f>
        <v/>
      </c>
    </row>
    <row r="16" ht="16" customHeight="1">
      <c r="B16" s="70" t="n"/>
      <c r="C16" s="52" t="inlineStr">
        <is>
          <t>java</t>
        </is>
      </c>
      <c r="D16" s="4" t="inlineStr">
        <is>
          <t>c++</t>
        </is>
      </c>
      <c r="E16" s="9" t="n">
        <v>0</v>
      </c>
      <c r="F16" s="39" t="n">
        <v>100</v>
      </c>
      <c r="G16" s="9" t="n">
        <v>0</v>
      </c>
      <c r="H16" s="39" t="n">
        <v>0</v>
      </c>
      <c r="I16" s="10" t="n">
        <v>0</v>
      </c>
      <c r="J16" s="73">
        <f>ROUND(AVERAGE(E16:E19),1)</f>
        <v/>
      </c>
      <c r="K16" s="27">
        <f>ROUND((E16/100)*200,0)</f>
        <v/>
      </c>
      <c r="L16" s="35">
        <f>ROUND((F16/100)*200,0)</f>
        <v/>
      </c>
      <c r="M16" s="27">
        <f>ROUND((G16/100)*200,0)</f>
        <v/>
      </c>
      <c r="N16" s="35">
        <f>ROUND((H16/100)*200,0)</f>
        <v/>
      </c>
      <c r="O16" s="27">
        <f>ROUND((I16/100)*200,0)</f>
        <v/>
      </c>
    </row>
    <row r="17" ht="16" customHeight="1">
      <c r="B17" s="70" t="n"/>
      <c r="C17" s="71" t="n"/>
      <c r="D17" s="19" t="inlineStr">
        <is>
          <t>go</t>
        </is>
      </c>
      <c r="E17" s="67" t="n">
        <v>0</v>
      </c>
      <c r="F17" s="37" t="n">
        <v>100</v>
      </c>
      <c r="G17" s="66" t="n">
        <v>0</v>
      </c>
      <c r="H17" s="37" t="n">
        <v>0</v>
      </c>
      <c r="I17" s="68" t="n">
        <v>0</v>
      </c>
      <c r="J17" s="74" t="n"/>
      <c r="K17" s="28">
        <f>ROUND((E17/100)*200,0)</f>
        <v/>
      </c>
      <c r="L17" s="16">
        <f>ROUND((F17/100)*200,0)</f>
        <v/>
      </c>
      <c r="M17" s="28">
        <f>ROUND((G17/100)*200,0)</f>
        <v/>
      </c>
      <c r="N17" s="16">
        <f>ROUND((H17/100)*200,0)</f>
        <v/>
      </c>
      <c r="O17" s="28">
        <f>ROUND((I17/100)*200,0)</f>
        <v/>
      </c>
    </row>
    <row r="18" ht="16" customHeight="1">
      <c r="B18" s="70" t="n"/>
      <c r="C18" s="71" t="n"/>
      <c r="D18" s="4" t="inlineStr">
        <is>
          <t>c</t>
        </is>
      </c>
      <c r="E18" s="66" t="n">
        <v>0</v>
      </c>
      <c r="F18" s="37" t="n">
        <v>100</v>
      </c>
      <c r="G18" s="66" t="n">
        <v>0</v>
      </c>
      <c r="H18" s="37" t="n">
        <v>0</v>
      </c>
      <c r="I18" s="6" t="n">
        <v>0</v>
      </c>
      <c r="J18" s="74" t="n"/>
      <c r="K18" s="28">
        <f>ROUND((E18/100)*200,0)</f>
        <v/>
      </c>
      <c r="L18" s="16">
        <f>ROUND((F18/100)*200,0)</f>
        <v/>
      </c>
      <c r="M18" s="28">
        <f>ROUND((G18/100)*200,0)</f>
        <v/>
      </c>
      <c r="N18" s="16">
        <f>ROUND((H18/100)*200,0)</f>
        <v/>
      </c>
      <c r="O18" s="28">
        <f>ROUND((I18/100)*200,0)</f>
        <v/>
      </c>
    </row>
    <row r="19" ht="16" customHeight="1">
      <c r="B19" s="70" t="n"/>
      <c r="C19" s="72" t="n"/>
      <c r="D19" s="4" t="inlineStr">
        <is>
          <t>python</t>
        </is>
      </c>
      <c r="E19" s="66" t="n">
        <v>0.5</v>
      </c>
      <c r="F19" s="37" t="n">
        <v>90</v>
      </c>
      <c r="G19" s="66" t="n">
        <v>9.5</v>
      </c>
      <c r="H19" s="37" t="n">
        <v>0</v>
      </c>
      <c r="I19" s="6" t="n">
        <v>0</v>
      </c>
      <c r="J19" s="75" t="n"/>
      <c r="K19" s="29">
        <f>ROUND((E19/100)*200,0)</f>
        <v/>
      </c>
      <c r="L19" s="26">
        <f>ROUND((F19/100)*200,0)</f>
        <v/>
      </c>
      <c r="M19" s="29">
        <f>ROUND((G19/100)*200,0)</f>
        <v/>
      </c>
      <c r="N19" s="26">
        <f>ROUND((H19/100)*200,0)</f>
        <v/>
      </c>
      <c r="O19" s="29">
        <f>ROUND((I19/100)*200,0)</f>
        <v/>
      </c>
    </row>
    <row r="20" ht="16" customHeight="1">
      <c r="B20" s="70" t="n"/>
      <c r="C20" s="53" t="inlineStr">
        <is>
          <t>python</t>
        </is>
      </c>
      <c r="D20" s="4" t="inlineStr">
        <is>
          <t>c++</t>
        </is>
      </c>
      <c r="E20" s="9" t="n">
        <v>0</v>
      </c>
      <c r="F20" s="39" t="n">
        <v>100</v>
      </c>
      <c r="G20" s="9" t="n">
        <v>0</v>
      </c>
      <c r="H20" s="39" t="n">
        <v>0</v>
      </c>
      <c r="I20" s="10" t="n">
        <v>0</v>
      </c>
      <c r="J20" s="63">
        <f>ROUND(AVERAGE(E20:E23),1)</f>
        <v/>
      </c>
      <c r="K20" s="28">
        <f>ROUND((E20/100)*200,0)</f>
        <v/>
      </c>
      <c r="L20" s="16">
        <f>ROUND((F20/100)*200,0)</f>
        <v/>
      </c>
      <c r="M20" s="28">
        <f>ROUND((G20/100)*200,0)</f>
        <v/>
      </c>
      <c r="N20" s="16">
        <f>ROUND((H20/100)*200,0)</f>
        <v/>
      </c>
      <c r="O20" s="28">
        <f>ROUND((I20/100)*200,0)</f>
        <v/>
      </c>
    </row>
    <row r="21" ht="16" customHeight="1">
      <c r="B21" s="70" t="n"/>
      <c r="C21" s="71" t="n"/>
      <c r="D21" s="4" t="inlineStr">
        <is>
          <t>go</t>
        </is>
      </c>
      <c r="E21" s="66" t="n">
        <v>0</v>
      </c>
      <c r="F21" s="37" t="n">
        <v>99.5</v>
      </c>
      <c r="G21" s="66" t="n">
        <v>0</v>
      </c>
      <c r="H21" s="37" t="n">
        <v>0.5</v>
      </c>
      <c r="I21" s="6" t="n">
        <v>0</v>
      </c>
      <c r="J21" s="70" t="n"/>
      <c r="K21" s="28">
        <f>ROUND((E21/100)*200,0)</f>
        <v/>
      </c>
      <c r="L21" s="16">
        <f>ROUND((F21/100)*200,0)</f>
        <v/>
      </c>
      <c r="M21" s="28">
        <f>ROUND((G21/100)*200,0)</f>
        <v/>
      </c>
      <c r="N21" s="16">
        <f>ROUND((H21/100)*200,0)</f>
        <v/>
      </c>
      <c r="O21" s="28">
        <f>ROUND((I21/100)*200,0)</f>
        <v/>
      </c>
    </row>
    <row r="22" ht="16" customHeight="1">
      <c r="B22" s="70" t="n"/>
      <c r="C22" s="71" t="n"/>
      <c r="D22" s="69" t="inlineStr">
        <is>
          <t>java</t>
        </is>
      </c>
      <c r="E22" s="68" t="n">
        <v>4</v>
      </c>
      <c r="F22" s="68" t="n">
        <v>82</v>
      </c>
      <c r="G22" s="68" t="n">
        <v>7.5</v>
      </c>
      <c r="H22" s="68" t="n">
        <v>6.5</v>
      </c>
      <c r="I22" s="68" t="n">
        <v>0</v>
      </c>
      <c r="J22" s="70" t="n"/>
      <c r="K22" s="28">
        <f>ROUND((E22/100)*200,0)</f>
        <v/>
      </c>
      <c r="L22" s="16">
        <f>ROUND((F22/100)*200,0)</f>
        <v/>
      </c>
      <c r="M22" s="28">
        <f>ROUND((G22/100)*200,0)</f>
        <v/>
      </c>
      <c r="N22" s="16">
        <f>ROUND((H22/100)*200,0)</f>
        <v/>
      </c>
      <c r="O22" s="28">
        <f>ROUND((I22/100)*200,0)</f>
        <v/>
      </c>
    </row>
    <row r="23" ht="16" customHeight="1">
      <c r="B23" s="76" t="n"/>
      <c r="C23" s="72" t="n"/>
      <c r="D23" s="4" t="inlineStr">
        <is>
          <t>c</t>
        </is>
      </c>
      <c r="E23" s="66" t="n">
        <v>0</v>
      </c>
      <c r="F23" s="37" t="n">
        <v>100</v>
      </c>
      <c r="G23" s="66" t="n">
        <v>0</v>
      </c>
      <c r="H23" s="37" t="n">
        <v>0</v>
      </c>
      <c r="I23" s="6" t="n">
        <v>0</v>
      </c>
      <c r="J23" s="70" t="n"/>
      <c r="K23" s="28">
        <f>ROUND((E23/100)*200,0)</f>
        <v/>
      </c>
      <c r="L23" s="16">
        <f>ROUND((F23/100)*200,0)</f>
        <v/>
      </c>
      <c r="M23" s="28">
        <f>ROUND((G23/100)*200,0)</f>
        <v/>
      </c>
      <c r="N23" s="16">
        <f>ROUND((H23/100)*200,0)</f>
        <v/>
      </c>
      <c r="O23" s="28">
        <f>ROUND((I23/100)*200,0)</f>
        <v/>
      </c>
    </row>
    <row r="24" ht="16" customHeight="1">
      <c r="B24" s="50" t="inlineStr">
        <is>
          <t>avatar</t>
        </is>
      </c>
      <c r="C24" s="52" t="inlineStr">
        <is>
          <t>java</t>
        </is>
      </c>
      <c r="D24" s="4" t="inlineStr">
        <is>
          <t>c++</t>
        </is>
      </c>
      <c r="E24" s="9" t="n">
        <v>0</v>
      </c>
      <c r="F24" s="39" t="n">
        <v>100</v>
      </c>
      <c r="G24" s="9" t="n">
        <v>0</v>
      </c>
      <c r="H24" s="39" t="n">
        <v>0</v>
      </c>
      <c r="I24" s="10" t="n">
        <v>0</v>
      </c>
      <c r="J24" s="73">
        <f>ROUND(AVERAGE(E24:E27),1)</f>
        <v/>
      </c>
      <c r="K24" s="43">
        <f>ROUND((E24/100)*249,0)</f>
        <v/>
      </c>
      <c r="L24" s="27">
        <f>ROUND((F24/100)*249,0)</f>
        <v/>
      </c>
      <c r="M24" s="35">
        <f>ROUND((G24/100)*249,0)</f>
        <v/>
      </c>
      <c r="N24" s="27">
        <f>ROUND((H24/100)*249,0)</f>
        <v/>
      </c>
      <c r="O24" s="46">
        <f>ROUND((I24/100)*249,0)</f>
        <v/>
      </c>
    </row>
    <row r="25" ht="16" customHeight="1">
      <c r="B25" s="70" t="n"/>
      <c r="C25" s="71" t="n"/>
      <c r="D25" s="4" t="inlineStr">
        <is>
          <t>go</t>
        </is>
      </c>
      <c r="E25" s="66" t="n">
        <v>0</v>
      </c>
      <c r="F25" s="37" t="n">
        <v>100</v>
      </c>
      <c r="G25" s="66" t="n">
        <v>0</v>
      </c>
      <c r="H25" s="37" t="n">
        <v>0</v>
      </c>
      <c r="I25" s="6" t="n">
        <v>0</v>
      </c>
      <c r="J25" s="74" t="n"/>
      <c r="K25" s="41">
        <f>ROUND((E25/100)*249,0)</f>
        <v/>
      </c>
      <c r="L25" s="28">
        <f>ROUND((F25/100)*249,0)</f>
        <v/>
      </c>
      <c r="M25" s="16">
        <f>ROUND((G25/100)*249,0)</f>
        <v/>
      </c>
      <c r="N25" s="28">
        <f>ROUND((H25/100)*249,0)</f>
        <v/>
      </c>
      <c r="O25" s="42">
        <f>ROUND((I25/100)*249,0)</f>
        <v/>
      </c>
    </row>
    <row r="26" ht="16" customHeight="1">
      <c r="B26" s="70" t="n"/>
      <c r="C26" s="71" t="n"/>
      <c r="D26" s="4" t="inlineStr">
        <is>
          <t>c</t>
        </is>
      </c>
      <c r="E26" s="66" t="n">
        <v>0</v>
      </c>
      <c r="F26" s="37" t="n">
        <v>100</v>
      </c>
      <c r="G26" s="66" t="n">
        <v>0</v>
      </c>
      <c r="H26" s="37" t="n">
        <v>0</v>
      </c>
      <c r="I26" s="6" t="n">
        <v>0</v>
      </c>
      <c r="J26" s="74" t="n"/>
      <c r="K26" s="41">
        <f>ROUND((E26/100)*249,0)</f>
        <v/>
      </c>
      <c r="L26" s="28">
        <f>ROUND((F26/100)*249,0)</f>
        <v/>
      </c>
      <c r="M26" s="16">
        <f>ROUND((G26/100)*249,0)</f>
        <v/>
      </c>
      <c r="N26" s="28">
        <f>ROUND((H26/100)*249,0)</f>
        <v/>
      </c>
      <c r="O26" s="42">
        <f>ROUND((I26/100)*249,0)</f>
        <v/>
      </c>
    </row>
    <row r="27" ht="16" customHeight="1">
      <c r="B27" s="70" t="n"/>
      <c r="C27" s="72" t="n"/>
      <c r="D27" s="4" t="inlineStr">
        <is>
          <t>python</t>
        </is>
      </c>
      <c r="E27" s="66" t="n">
        <v>0</v>
      </c>
      <c r="F27" s="37" t="n">
        <v>98.79000000000001</v>
      </c>
      <c r="G27" s="66" t="n">
        <v>1.2</v>
      </c>
      <c r="H27" s="37" t="n">
        <v>0</v>
      </c>
      <c r="I27" s="6" t="n">
        <v>0</v>
      </c>
      <c r="J27" s="75" t="n"/>
      <c r="K27" s="44">
        <f>ROUND((E27/100)*249,0)</f>
        <v/>
      </c>
      <c r="L27" s="29">
        <f>ROUND((F27/100)*249,0)</f>
        <v/>
      </c>
      <c r="M27" s="26">
        <f>ROUND((G27/100)*249,0)</f>
        <v/>
      </c>
      <c r="N27" s="29">
        <f>ROUND((H27/100)*249,0)</f>
        <v/>
      </c>
      <c r="O27" s="45">
        <f>ROUND((I27/100)*249,0)</f>
        <v/>
      </c>
    </row>
    <row r="28" ht="16" customHeight="1">
      <c r="B28" s="70" t="n"/>
      <c r="C28" s="53" t="inlineStr">
        <is>
          <t>python</t>
        </is>
      </c>
      <c r="D28" s="4" t="inlineStr">
        <is>
          <t>c++</t>
        </is>
      </c>
      <c r="E28" s="9" t="n">
        <v>0</v>
      </c>
      <c r="F28" s="39" t="n">
        <v>100</v>
      </c>
      <c r="G28" s="9" t="n">
        <v>0</v>
      </c>
      <c r="H28" s="39" t="n">
        <v>0</v>
      </c>
      <c r="I28" s="10" t="n">
        <v>0</v>
      </c>
      <c r="J28" s="63">
        <f>ROUND(AVERAGE(E28:E31),1)</f>
        <v/>
      </c>
      <c r="K28" s="41">
        <f>ROUND((E28/100)*250,0)</f>
        <v/>
      </c>
      <c r="L28" s="41">
        <f>ROUND((F28/100)*250,0)</f>
        <v/>
      </c>
      <c r="M28" s="41">
        <f>ROUND((G28/100)*250,0)</f>
        <v/>
      </c>
      <c r="N28" s="28">
        <f>ROUND((H28/100)*250,0)</f>
        <v/>
      </c>
      <c r="O28" s="28">
        <f>ROUND((I28/100)*250,0)</f>
        <v/>
      </c>
    </row>
    <row r="29" ht="16" customHeight="1">
      <c r="B29" s="70" t="n"/>
      <c r="C29" s="71" t="n"/>
      <c r="D29" s="4" t="inlineStr">
        <is>
          <t>go</t>
        </is>
      </c>
      <c r="E29" s="66" t="n">
        <v>0</v>
      </c>
      <c r="F29" s="37" t="n">
        <v>98.40000000000001</v>
      </c>
      <c r="G29" s="66" t="n">
        <v>0</v>
      </c>
      <c r="H29" s="37" t="n">
        <v>1.6</v>
      </c>
      <c r="I29" s="6" t="n">
        <v>0</v>
      </c>
      <c r="J29" s="70" t="n"/>
      <c r="K29" s="41">
        <f>ROUND((E29/100)*250,0)</f>
        <v/>
      </c>
      <c r="L29" s="41">
        <f>ROUND((F29/100)*250,0)</f>
        <v/>
      </c>
      <c r="M29" s="41">
        <f>ROUND((G29/100)*250,0)</f>
        <v/>
      </c>
      <c r="N29" s="28">
        <f>ROUND((H29/100)*250,0)</f>
        <v/>
      </c>
      <c r="O29" s="28">
        <f>ROUND((I29/100)*250,0)</f>
        <v/>
      </c>
    </row>
    <row r="30" ht="16" customHeight="1">
      <c r="B30" s="70" t="n"/>
      <c r="C30" s="71" t="n"/>
      <c r="D30" s="4" t="inlineStr">
        <is>
          <t>java</t>
        </is>
      </c>
      <c r="E30" s="66" t="n">
        <v>3.58</v>
      </c>
      <c r="F30" s="37" t="n">
        <v>79.28</v>
      </c>
      <c r="G30" s="66" t="n">
        <v>9.16</v>
      </c>
      <c r="H30" s="37" t="n">
        <v>7.57</v>
      </c>
      <c r="I30" s="6" t="n">
        <v>0.39</v>
      </c>
      <c r="J30" s="70" t="n"/>
      <c r="K30" s="41">
        <f>ROUND((E30/100)*250,0)</f>
        <v/>
      </c>
      <c r="L30" s="41">
        <f>ROUND((F30/100)*250,0)</f>
        <v/>
      </c>
      <c r="M30" s="41">
        <f>ROUND((G30/100)*250,0)</f>
        <v/>
      </c>
      <c r="N30" s="28">
        <f>ROUND((H30/100)*250,0)</f>
        <v/>
      </c>
      <c r="O30" s="28">
        <f>ROUND((I30/100)*250,0)</f>
        <v/>
      </c>
    </row>
    <row r="31" ht="16" customHeight="1">
      <c r="B31" s="76" t="n"/>
      <c r="C31" s="72" t="n"/>
      <c r="D31" s="12" t="inlineStr">
        <is>
          <t>c</t>
        </is>
      </c>
      <c r="E31" s="66" t="n">
        <v>0</v>
      </c>
      <c r="F31" s="49" t="n">
        <v>100</v>
      </c>
      <c r="G31" s="66" t="n">
        <v>0</v>
      </c>
      <c r="H31" s="49" t="n">
        <v>0</v>
      </c>
      <c r="I31" s="6" t="n">
        <v>0</v>
      </c>
      <c r="J31" s="70" t="n"/>
      <c r="K31" s="28">
        <f>ROUND((E31/100)*250,0)</f>
        <v/>
      </c>
      <c r="L31" s="16">
        <f>ROUND((F31/100)*250,0)</f>
        <v/>
      </c>
      <c r="M31" s="28">
        <f>ROUND((G31/100)*250,0)</f>
        <v/>
      </c>
      <c r="N31" s="16">
        <f>ROUND((H31/100)*250,0)</f>
        <v/>
      </c>
      <c r="O31" s="28">
        <f>ROUND((I31/100)*250,0)</f>
        <v/>
      </c>
    </row>
    <row r="32" ht="16" customHeight="1">
      <c r="B32" s="13" t="inlineStr">
        <is>
          <t>evalplus</t>
        </is>
      </c>
      <c r="C32" s="53" t="inlineStr">
        <is>
          <t>python</t>
        </is>
      </c>
      <c r="D32" s="4" t="inlineStr">
        <is>
          <t>java</t>
        </is>
      </c>
      <c r="E32" s="4" t="n">
        <v>7.93</v>
      </c>
      <c r="F32" s="48" t="n">
        <v>82.31</v>
      </c>
      <c r="G32" s="4" t="n">
        <v>2.44</v>
      </c>
      <c r="H32" s="48" t="n">
        <v>7.31</v>
      </c>
      <c r="I32" s="4" t="n">
        <v>0</v>
      </c>
      <c r="J32" s="33">
        <f>ROUND(E32,1)</f>
        <v/>
      </c>
      <c r="K32" s="34">
        <f>ROUND((E32/100)*164,0)</f>
        <v/>
      </c>
      <c r="L32" s="31">
        <f>ROUND((F32/100)*164,0)</f>
        <v/>
      </c>
      <c r="M32" s="34">
        <f>ROUND((G32/100)*164,0)</f>
        <v/>
      </c>
      <c r="N32" s="31">
        <f>ROUND((H32/100)*164,0)</f>
        <v/>
      </c>
      <c r="O32" s="34">
        <f>ROUND((I32/100)*164,0)</f>
        <v/>
      </c>
    </row>
    <row r="33" ht="16" customHeight="1">
      <c r="B33" s="18" t="inlineStr">
        <is>
          <t>Commons-CLI</t>
        </is>
      </c>
      <c r="C33" s="25" t="inlineStr">
        <is>
          <t>Java</t>
        </is>
      </c>
      <c r="D33" s="14" t="inlineStr">
        <is>
          <t>python</t>
        </is>
      </c>
      <c r="E33" s="15" t="n">
        <v>0</v>
      </c>
      <c r="F33" s="37" t="n">
        <v>100</v>
      </c>
      <c r="G33" s="66" t="n">
        <v>0</v>
      </c>
      <c r="H33" s="37" t="n">
        <v>0</v>
      </c>
      <c r="I33" s="6" t="n">
        <v>0</v>
      </c>
      <c r="J33" s="16">
        <f>ROUND(E33,1)</f>
        <v/>
      </c>
      <c r="K33" s="28">
        <f>ROUND((E33/100)*22,0)</f>
        <v/>
      </c>
      <c r="L33" s="16">
        <f>ROUND((F33/100)*22,0)</f>
        <v/>
      </c>
      <c r="M33" s="28">
        <f>ROUND((G33/100)*22,0)</f>
        <v/>
      </c>
      <c r="N33" s="16">
        <f>ROUND((H33/100)*22,0)</f>
        <v/>
      </c>
      <c r="O33" s="28">
        <f>ROUND((I33/100)*22,0)</f>
        <v/>
      </c>
    </row>
    <row r="34" ht="16" customHeight="1">
      <c r="B34" s="30" t="inlineStr">
        <is>
          <t>Click</t>
        </is>
      </c>
      <c r="C34" s="47" t="inlineStr">
        <is>
          <t>python</t>
        </is>
      </c>
      <c r="D34" s="40" t="inlineStr">
        <is>
          <t>java</t>
        </is>
      </c>
      <c r="E34" s="66" t="n">
        <v>0</v>
      </c>
      <c r="F34" s="37" t="n">
        <v>100</v>
      </c>
      <c r="G34" s="66" t="n">
        <v>0</v>
      </c>
      <c r="H34" s="37" t="n">
        <v>0</v>
      </c>
      <c r="I34" s="6" t="n">
        <v>0</v>
      </c>
      <c r="J34" s="16">
        <f>ROUND(E34,1)</f>
        <v/>
      </c>
      <c r="K34" s="28">
        <f>ROUND((E34/100)*15,0)</f>
        <v/>
      </c>
      <c r="L34" s="16">
        <f>ROUND((F34/100)*15,0)</f>
        <v/>
      </c>
      <c r="M34" s="28">
        <f>ROUND((G34/100)*15,0)</f>
        <v/>
      </c>
      <c r="N34" s="16">
        <f>ROUND((H34/100)*15,0)</f>
        <v/>
      </c>
      <c r="O34" s="28">
        <f>ROUND((I34/100)*15,0)</f>
        <v/>
      </c>
    </row>
    <row r="35">
      <c r="B35" s="55" t="inlineStr">
        <is>
          <t>Total/Average</t>
        </is>
      </c>
      <c r="C35" s="77" t="n"/>
      <c r="D35" s="77" t="n"/>
      <c r="E35" s="34">
        <f>AVERAGE(AVERAGE(E4:E23),AVERAGE(E24:E31),E32,E33,E34)</f>
        <v/>
      </c>
      <c r="F35" s="34">
        <f>AVERAGE(AVERAGE(F4:F23),AVERAGE(F24:F31),F32,F33,F34)</f>
        <v/>
      </c>
      <c r="G35" s="31">
        <f>AVERAGE(AVERAGE(G4:G23),AVERAGE(G24:G31),G32,G33,G34)</f>
        <v/>
      </c>
      <c r="H35" s="34">
        <f>AVERAGE(AVERAGE(H4:H23),AVERAGE(H24:H31),H32,H33,H34)</f>
        <v/>
      </c>
      <c r="I35" s="31">
        <f>AVERAGE(AVERAGE(I4:I23),AVERAGE(I24:I31),I32,I33,I34)</f>
        <v/>
      </c>
      <c r="J35" s="34">
        <f>ROUND(AVERAGE(AVERAGE(J4:J23),AVERAGE(J24:J31),J32,J33,J34),1)</f>
        <v/>
      </c>
      <c r="K35" s="34">
        <f>ROUND(AVERAGE(K4:K34),0)</f>
        <v/>
      </c>
      <c r="L35" s="34">
        <f>ROUND(AVERAGE(L4:L34),0)</f>
        <v/>
      </c>
      <c r="M35" s="34">
        <f>ROUND(AVERAGE(M4:M34),0)</f>
        <v/>
      </c>
      <c r="N35" s="34">
        <f>ROUND(AVERAGE(N4:N34),0)</f>
        <v/>
      </c>
      <c r="O35" s="34">
        <f>ROUND(AVERAGE(O4:O34),0)</f>
        <v/>
      </c>
    </row>
  </sheetData>
  <mergeCells count="17">
    <mergeCell ref="C4:C7"/>
    <mergeCell ref="C28:C31"/>
    <mergeCell ref="J4:J7"/>
    <mergeCell ref="J12:J15"/>
    <mergeCell ref="J28:J31"/>
    <mergeCell ref="B4:B23"/>
    <mergeCell ref="C8:C11"/>
    <mergeCell ref="B35:D35"/>
    <mergeCell ref="C16:C19"/>
    <mergeCell ref="C20:C23"/>
    <mergeCell ref="C12:C15"/>
    <mergeCell ref="J8:J11"/>
    <mergeCell ref="J16:J19"/>
    <mergeCell ref="J20:J23"/>
    <mergeCell ref="B24:B31"/>
    <mergeCell ref="J24:J27"/>
    <mergeCell ref="C24:C27"/>
  </mergeCells>
  <pageMargins left="0.7" right="0.7" top="0.75" bottom="0.75" header="0.3" footer="0.3"/>
  <pageSetup orientation="portrait" horizontalDpi="0" verticalDpi="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O7"/>
  <sheetViews>
    <sheetView workbookViewId="0">
      <selection activeCell="A1" sqref="A1"/>
    </sheetView>
  </sheetViews>
  <sheetFormatPr baseColWidth="8" defaultRowHeight="15"/>
  <cols>
    <col width="11.5" customWidth="1" min="2" max="2"/>
    <col width="15" customWidth="1" min="3" max="3"/>
    <col width="12.5" customWidth="1" min="4" max="4"/>
    <col width="18.6640625" customWidth="1" min="5" max="5"/>
    <col width="26.33203125" customWidth="1" min="6" max="6"/>
    <col width="24.1640625" customWidth="1" min="7" max="7"/>
    <col width="22.83203125" customWidth="1" min="8" max="8"/>
    <col width="21.5" customWidth="1" min="9" max="9"/>
    <col width="15.83203125" customWidth="1" min="10" max="10"/>
    <col width="12.83203125" customWidth="1" min="11" max="11"/>
    <col width="15.6640625" customWidth="1" min="12" max="12"/>
    <col width="13.5" customWidth="1" min="13" max="13"/>
    <col width="13" customWidth="1" min="14" max="14"/>
    <col width="19.1640625" customWidth="1" min="15" max="15"/>
  </cols>
  <sheetData>
    <row r="1">
      <c r="B1" s="1" t="inlineStr">
        <is>
          <t>Qwen (nosso subconjunto de 100 arquivos)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B2" s="1" t="inlineStr">
        <is>
          <t>dataset</t>
        </is>
      </c>
      <c r="C2" s="1" t="inlineStr">
        <is>
          <t>source</t>
        </is>
      </c>
      <c r="D2" s="1" t="inlineStr">
        <is>
          <t>target</t>
        </is>
      </c>
      <c r="E2" s="1" t="inlineStr">
        <is>
          <t>script accuracy %</t>
        </is>
      </c>
      <c r="F2" s="1" t="inlineStr">
        <is>
          <t>script compilation error %</t>
        </is>
      </c>
      <c r="G2" s="1" t="inlineStr">
        <is>
          <t>script runtime error %</t>
        </is>
      </c>
      <c r="H2" s="1" t="inlineStr">
        <is>
          <t>script wrong output %</t>
        </is>
      </c>
      <c r="I2" s="1" t="inlineStr">
        <is>
          <t>script infinite loop %</t>
        </is>
      </c>
      <c r="J2" s="1" t="inlineStr">
        <is>
          <t>avg source acc %</t>
        </is>
      </c>
      <c r="K2" s="1" t="inlineStr">
        <is>
          <t>num correct</t>
        </is>
      </c>
      <c r="L2" s="1" t="inlineStr">
        <is>
          <t>num compilation</t>
        </is>
      </c>
      <c r="M2" s="1" t="inlineStr">
        <is>
          <t>num runtime</t>
        </is>
      </c>
      <c r="N2" s="1" t="inlineStr">
        <is>
          <t>num incorrect</t>
        </is>
      </c>
      <c r="O2" s="1" t="inlineStr">
        <is>
          <t>num non-terminating</t>
        </is>
      </c>
    </row>
    <row r="3">
      <c r="B3" s="50" t="inlineStr">
        <is>
          <t>codenet</t>
        </is>
      </c>
      <c r="C3" s="52" t="inlineStr">
        <is>
          <t>python</t>
        </is>
      </c>
      <c r="D3" s="4" t="inlineStr">
        <is>
          <t>java</t>
        </is>
      </c>
      <c r="E3" s="9" t="n">
        <v>70</v>
      </c>
      <c r="F3" s="9" t="n">
        <v>14</v>
      </c>
      <c r="G3" s="9" t="n">
        <v>7</v>
      </c>
      <c r="H3" s="9" t="n">
        <v>9</v>
      </c>
      <c r="I3" s="9" t="n">
        <v>0</v>
      </c>
      <c r="J3" s="9">
        <f>ROUND(E3,1)</f>
        <v/>
      </c>
      <c r="K3" s="9">
        <f>ROUND((E3/100)*100,0)</f>
        <v/>
      </c>
      <c r="L3" s="9">
        <f>ROUND((F3/100)*100,0)</f>
        <v/>
      </c>
      <c r="M3" s="9">
        <f>ROUND((G3/100)*100,0)</f>
        <v/>
      </c>
      <c r="N3" s="9">
        <f>ROUND((H3/100)*100,0)</f>
        <v/>
      </c>
      <c r="O3" s="9">
        <f>ROUND((I3/100)*100,0)</f>
        <v/>
      </c>
    </row>
    <row r="4">
      <c r="B4" s="4" t="n"/>
      <c r="C4" s="52" t="inlineStr">
        <is>
          <t>java</t>
        </is>
      </c>
      <c r="D4" s="4" t="inlineStr">
        <is>
          <t>python</t>
        </is>
      </c>
      <c r="E4" s="9" t="n">
        <v>38</v>
      </c>
      <c r="F4" s="9" t="n">
        <v>7</v>
      </c>
      <c r="G4" s="9" t="n">
        <v>49</v>
      </c>
      <c r="H4" s="9" t="n">
        <v>6</v>
      </c>
      <c r="I4" s="9" t="n">
        <v>0</v>
      </c>
      <c r="J4" s="9">
        <f>ROUND(E4,1)</f>
        <v/>
      </c>
      <c r="K4" s="9">
        <f>ROUND((E4/100)*100,0)</f>
        <v/>
      </c>
      <c r="L4" s="9">
        <f>ROUND((F4/100)*100,0)</f>
        <v/>
      </c>
      <c r="M4" s="9">
        <f>ROUND((G4/100)*100,0)</f>
        <v/>
      </c>
      <c r="N4" s="9">
        <f>ROUND((H4/100)*100,0)</f>
        <v/>
      </c>
      <c r="O4" s="9">
        <f>ROUND((I4/100)*100,0)</f>
        <v/>
      </c>
    </row>
    <row r="5">
      <c r="B5" s="50" t="inlineStr">
        <is>
          <t>avatar</t>
        </is>
      </c>
      <c r="C5" s="52" t="inlineStr">
        <is>
          <t>python</t>
        </is>
      </c>
      <c r="D5" s="4" t="inlineStr">
        <is>
          <t>java</t>
        </is>
      </c>
      <c r="E5" s="9" t="n">
        <v>39</v>
      </c>
      <c r="F5" s="9" t="n">
        <v>26</v>
      </c>
      <c r="G5" s="9" t="n">
        <v>10</v>
      </c>
      <c r="H5" s="9" t="n">
        <v>25</v>
      </c>
      <c r="I5" s="9" t="n">
        <v>0</v>
      </c>
      <c r="J5" s="9">
        <f>ROUND(E5,1)</f>
        <v/>
      </c>
      <c r="K5" s="9">
        <f>ROUND((E5/100)*100,0)</f>
        <v/>
      </c>
      <c r="L5" s="9">
        <f>ROUND((F5/100)*100,0)</f>
        <v/>
      </c>
      <c r="M5" s="9">
        <f>ROUND((G5/100)*100,0)</f>
        <v/>
      </c>
      <c r="N5" s="9">
        <f>ROUND((H5/100)*100,0)</f>
        <v/>
      </c>
      <c r="O5" s="9">
        <f>ROUND((I5/100)*100,0)</f>
        <v/>
      </c>
    </row>
    <row r="6">
      <c r="B6" s="4" t="n"/>
      <c r="C6" s="52" t="inlineStr">
        <is>
          <t>java</t>
        </is>
      </c>
      <c r="D6" s="4" t="inlineStr">
        <is>
          <t>python</t>
        </is>
      </c>
      <c r="E6" s="9" t="n">
        <v>34</v>
      </c>
      <c r="F6" s="9" t="n">
        <v>2</v>
      </c>
      <c r="G6" s="9" t="n">
        <v>47</v>
      </c>
      <c r="H6" s="9" t="n">
        <v>17</v>
      </c>
      <c r="I6" s="9" t="n">
        <v>0</v>
      </c>
      <c r="J6" s="9">
        <f>ROUND(E6,1)</f>
        <v/>
      </c>
      <c r="K6" s="9">
        <f>ROUND((E6/100)*100,0)</f>
        <v/>
      </c>
      <c r="L6" s="9">
        <f>ROUND((F6/100)*100,0)</f>
        <v/>
      </c>
      <c r="M6" s="9">
        <f>ROUND((G6/100)*100,0)</f>
        <v/>
      </c>
      <c r="N6" s="9">
        <f>ROUND((H6/100)*100,0)</f>
        <v/>
      </c>
      <c r="O6" s="9">
        <f>ROUND((I6/100)*100,0)</f>
        <v/>
      </c>
    </row>
    <row r="7">
      <c r="B7" s="55" t="inlineStr">
        <is>
          <t>Total/Average (100-file subset)</t>
        </is>
      </c>
      <c r="C7" s="55" t="n"/>
      <c r="D7" s="55" t="n"/>
      <c r="E7" s="34">
        <f>ROUND(AVERAGE(E3:E6),2)</f>
        <v/>
      </c>
      <c r="F7" s="34">
        <f>ROUND(AVERAGE(F3:F6),2)</f>
        <v/>
      </c>
      <c r="G7" s="34">
        <f>ROUND(AVERAGE(G3:G6),2)</f>
        <v/>
      </c>
      <c r="H7" s="34">
        <f>ROUND(AVERAGE(H3:H6),2)</f>
        <v/>
      </c>
      <c r="I7" s="34">
        <f>ROUND(AVERAGE(I3:I6),2)</f>
        <v/>
      </c>
      <c r="J7" s="34">
        <f>ROUND(AVERAGE(J3:J6),1)</f>
        <v/>
      </c>
      <c r="K7" s="34">
        <f>ROUND(AVERAGE(K3:K6),0)</f>
        <v/>
      </c>
      <c r="L7" s="34">
        <f>ROUND(AVERAGE(L3:L6),0)</f>
        <v/>
      </c>
      <c r="M7" s="34">
        <f>ROUND(AVERAGE(M3:M6),0)</f>
        <v/>
      </c>
      <c r="N7" s="34">
        <f>ROUND(AVERAGE(N3:N6),0)</f>
        <v/>
      </c>
      <c r="O7" s="34">
        <f>ROUND(AVERAGE(O3:O6),0)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O7"/>
  <sheetViews>
    <sheetView workbookViewId="0">
      <selection activeCell="A1" sqref="A1"/>
    </sheetView>
  </sheetViews>
  <sheetFormatPr baseColWidth="8" defaultRowHeight="15"/>
  <cols>
    <col width="11.5" customWidth="1" min="2" max="2"/>
    <col width="15" customWidth="1" min="3" max="3"/>
    <col width="12.5" customWidth="1" min="4" max="4"/>
    <col width="18.6640625" customWidth="1" min="5" max="5"/>
    <col width="26.33203125" customWidth="1" min="6" max="6"/>
    <col width="24.1640625" customWidth="1" min="7" max="7"/>
    <col width="22.83203125" customWidth="1" min="8" max="8"/>
    <col width="21.5" customWidth="1" min="9" max="9"/>
    <col width="15.83203125" customWidth="1" min="10" max="10"/>
    <col width="12.83203125" customWidth="1" min="11" max="11"/>
    <col width="15.6640625" customWidth="1" min="12" max="12"/>
    <col width="13.5" customWidth="1" min="13" max="13"/>
    <col width="13" customWidth="1" min="14" max="14"/>
    <col width="19.1640625" customWidth="1" min="15" max="15"/>
  </cols>
  <sheetData>
    <row r="1">
      <c r="B1" s="1" t="inlineStr">
        <is>
          <t>LLaMa (nosso subconjunto de 100 arquivos)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B2" s="1" t="inlineStr">
        <is>
          <t>dataset</t>
        </is>
      </c>
      <c r="C2" s="1" t="inlineStr">
        <is>
          <t>source</t>
        </is>
      </c>
      <c r="D2" s="1" t="inlineStr">
        <is>
          <t>target</t>
        </is>
      </c>
      <c r="E2" s="1" t="inlineStr">
        <is>
          <t>script accuracy %</t>
        </is>
      </c>
      <c r="F2" s="1" t="inlineStr">
        <is>
          <t>script compilation error %</t>
        </is>
      </c>
      <c r="G2" s="1" t="inlineStr">
        <is>
          <t>script runtime error %</t>
        </is>
      </c>
      <c r="H2" s="1" t="inlineStr">
        <is>
          <t>script wrong output %</t>
        </is>
      </c>
      <c r="I2" s="1" t="inlineStr">
        <is>
          <t>script infinite loop %</t>
        </is>
      </c>
      <c r="J2" s="1" t="inlineStr">
        <is>
          <t>avg source acc %</t>
        </is>
      </c>
      <c r="K2" s="1" t="inlineStr">
        <is>
          <t>num correct</t>
        </is>
      </c>
      <c r="L2" s="1" t="inlineStr">
        <is>
          <t>num compilation</t>
        </is>
      </c>
      <c r="M2" s="1" t="inlineStr">
        <is>
          <t>num runtime</t>
        </is>
      </c>
      <c r="N2" s="1" t="inlineStr">
        <is>
          <t>num incorrect</t>
        </is>
      </c>
      <c r="O2" s="1" t="inlineStr">
        <is>
          <t>num non-terminating</t>
        </is>
      </c>
    </row>
    <row r="3">
      <c r="B3" s="50" t="inlineStr">
        <is>
          <t>codenet</t>
        </is>
      </c>
      <c r="C3" s="52" t="inlineStr">
        <is>
          <t>python</t>
        </is>
      </c>
      <c r="D3" s="4" t="inlineStr">
        <is>
          <t>java</t>
        </is>
      </c>
      <c r="E3" s="9" t="n">
        <v>54</v>
      </c>
      <c r="F3" s="9" t="n">
        <v>18</v>
      </c>
      <c r="G3" s="9" t="n">
        <v>8</v>
      </c>
      <c r="H3" s="9" t="n">
        <v>20</v>
      </c>
      <c r="I3" s="9" t="n">
        <v>0</v>
      </c>
      <c r="J3" s="9">
        <f>ROUND(E3,1)</f>
        <v/>
      </c>
      <c r="K3" s="9">
        <f>ROUND((E3/100)*100,0)</f>
        <v/>
      </c>
      <c r="L3" s="9">
        <f>ROUND((F3/100)*100,0)</f>
        <v/>
      </c>
      <c r="M3" s="9">
        <f>ROUND((G3/100)*100,0)</f>
        <v/>
      </c>
      <c r="N3" s="9">
        <f>ROUND((H3/100)*100,0)</f>
        <v/>
      </c>
      <c r="O3" s="9">
        <f>ROUND((I3/100)*100,0)</f>
        <v/>
      </c>
    </row>
    <row r="4">
      <c r="B4" s="4" t="n"/>
      <c r="C4" s="52" t="inlineStr">
        <is>
          <t>java</t>
        </is>
      </c>
      <c r="D4" s="4" t="inlineStr">
        <is>
          <t>python</t>
        </is>
      </c>
      <c r="E4" s="9" t="n">
        <v>33</v>
      </c>
      <c r="F4" s="9" t="n">
        <v>13</v>
      </c>
      <c r="G4" s="9" t="n">
        <v>45</v>
      </c>
      <c r="H4" s="9" t="n">
        <v>8</v>
      </c>
      <c r="I4" s="9" t="n">
        <v>1</v>
      </c>
      <c r="J4" s="9">
        <f>ROUND(E4,1)</f>
        <v/>
      </c>
      <c r="K4" s="9">
        <f>ROUND((E4/100)*100,0)</f>
        <v/>
      </c>
      <c r="L4" s="9">
        <f>ROUND((F4/100)*100,0)</f>
        <v/>
      </c>
      <c r="M4" s="9">
        <f>ROUND((G4/100)*100,0)</f>
        <v/>
      </c>
      <c r="N4" s="9">
        <f>ROUND((H4/100)*100,0)</f>
        <v/>
      </c>
      <c r="O4" s="9">
        <f>ROUND((I4/100)*100,0)</f>
        <v/>
      </c>
    </row>
    <row r="5">
      <c r="B5" s="50" t="inlineStr">
        <is>
          <t>avatar</t>
        </is>
      </c>
      <c r="C5" s="52" t="inlineStr">
        <is>
          <t>python</t>
        </is>
      </c>
      <c r="D5" s="4" t="inlineStr">
        <is>
          <t>java</t>
        </is>
      </c>
      <c r="E5" s="9" t="n">
        <v>31</v>
      </c>
      <c r="F5" s="9" t="n">
        <v>22</v>
      </c>
      <c r="G5" s="9" t="n">
        <v>12</v>
      </c>
      <c r="H5" s="9" t="n">
        <v>35</v>
      </c>
      <c r="I5" s="9" t="n">
        <v>0</v>
      </c>
      <c r="J5" s="9">
        <f>ROUND(E5,1)</f>
        <v/>
      </c>
      <c r="K5" s="9">
        <f>ROUND((E5/100)*100,0)</f>
        <v/>
      </c>
      <c r="L5" s="9">
        <f>ROUND((F5/100)*100,0)</f>
        <v/>
      </c>
      <c r="M5" s="9">
        <f>ROUND((G5/100)*100,0)</f>
        <v/>
      </c>
      <c r="N5" s="9">
        <f>ROUND((H5/100)*100,0)</f>
        <v/>
      </c>
      <c r="O5" s="9">
        <f>ROUND((I5/100)*100,0)</f>
        <v/>
      </c>
    </row>
    <row r="6">
      <c r="B6" s="4" t="n"/>
      <c r="C6" s="52" t="inlineStr">
        <is>
          <t>java</t>
        </is>
      </c>
      <c r="D6" s="4" t="inlineStr">
        <is>
          <t>python</t>
        </is>
      </c>
      <c r="E6" s="9" t="n">
        <v>35</v>
      </c>
      <c r="F6" s="9" t="n">
        <v>1</v>
      </c>
      <c r="G6" s="9" t="n">
        <v>52</v>
      </c>
      <c r="H6" s="9" t="n">
        <v>10</v>
      </c>
      <c r="I6" s="9" t="n">
        <v>2</v>
      </c>
      <c r="J6" s="9">
        <f>ROUND(E6,1)</f>
        <v/>
      </c>
      <c r="K6" s="9">
        <f>ROUND((E6/100)*100,0)</f>
        <v/>
      </c>
      <c r="L6" s="9">
        <f>ROUND((F6/100)*100,0)</f>
        <v/>
      </c>
      <c r="M6" s="9">
        <f>ROUND((G6/100)*100,0)</f>
        <v/>
      </c>
      <c r="N6" s="9">
        <f>ROUND((H6/100)*100,0)</f>
        <v/>
      </c>
      <c r="O6" s="9">
        <f>ROUND((I6/100)*100,0)</f>
        <v/>
      </c>
    </row>
    <row r="7">
      <c r="B7" s="55" t="inlineStr">
        <is>
          <t>Total/Average (100-file subset)</t>
        </is>
      </c>
      <c r="C7" s="55" t="n"/>
      <c r="D7" s="55" t="n"/>
      <c r="E7" s="34">
        <f>ROUND(AVERAGE(E3:E6),2)</f>
        <v/>
      </c>
      <c r="F7" s="34">
        <f>ROUND(AVERAGE(F3:F6),2)</f>
        <v/>
      </c>
      <c r="G7" s="34">
        <f>ROUND(AVERAGE(G3:G6),2)</f>
        <v/>
      </c>
      <c r="H7" s="34">
        <f>ROUND(AVERAGE(H3:H6),2)</f>
        <v/>
      </c>
      <c r="I7" s="34">
        <f>ROUND(AVERAGE(I3:I6),2)</f>
        <v/>
      </c>
      <c r="J7" s="34">
        <f>ROUND(AVERAGE(J3:J6),1)</f>
        <v/>
      </c>
      <c r="K7" s="34">
        <f>ROUND(AVERAGE(K3:K6),0)</f>
        <v/>
      </c>
      <c r="L7" s="34">
        <f>ROUND(AVERAGE(L3:L6),0)</f>
        <v/>
      </c>
      <c r="M7" s="34">
        <f>ROUND(AVERAGE(M3:M6),0)</f>
        <v/>
      </c>
      <c r="N7" s="34">
        <f>ROUND(AVERAGE(N3:N6),0)</f>
        <v/>
      </c>
      <c r="O7" s="34">
        <f>ROUND(AVERAGE(O3:O6),0)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Rangeet Pan</dc:creator>
  <dcterms:created xsi:type="dcterms:W3CDTF">2023-12-25T15:38:40Z</dcterms:created>
  <dcterms:modified xsi:type="dcterms:W3CDTF">2026-06-15T01:15:38Z</dcterms:modified>
  <cp:lastModifiedBy>Ibrahimzada, Ali Reza</cp:lastModifiedBy>
</cp:coreProperties>
</file>